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ados_LAT" sheetId="2" state="visible" r:id="rId4"/>
    <sheet name="Dados_SUM" sheetId="3" state="visible" r:id="rId5"/>
    <sheet name="Dados_Threads" sheetId="4" state="visible" r:id="rId6"/>
    <sheet name="Dados_Memoria" sheetId="5" state="visible" r:id="rId7"/>
    <sheet name="Dados_Manual" sheetId="6" state="visible" r:id="rId8"/>
    <sheet name="Exp1-3" sheetId="7" state="visible" r:id="rId9"/>
    <sheet name="Exp4" sheetId="8" state="visible" r:id="rId10"/>
    <sheet name="Exp5" sheetId="9" state="visible" r:id="rId11"/>
    <sheet name="Exp6" sheetId="10" state="visible" r:id="rId12"/>
    <sheet name="Exp7" sheetId="11" state="visible" r:id="rId13"/>
    <sheet name="Exp8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<sst xmlns="http://schemas.openxmlformats.org/spreadsheetml/2006/main" count="1672" uniqueCount="204">
  <si>
    <t xml:space="preserve">Resultados do hands-on: Polling, Interrupcoes, Threads e Work Queue no Zephyr RTOS</t>
  </si>
  <si>
    <t xml:space="preserve">Leonardo Moreno - NUSP 13654481</t>
  </si>
  <si>
    <t xml:space="preserve">ORIGEM DOS DADOS</t>
  </si>
  <si>
    <t xml:space="preserve">Firmware real compilado com west build (Zephyr 4.5.0-rc2, Zephyr SDK 1.0.1, placa esp32_devkitc/esp32/procpu).</t>
  </si>
  <si>
    <t xml:space="preserve">Execucao EMULADA: QEMU da Espressif (esp-develop) com modelo de GPIO estendido (saida/entrada, interrupcao por borda, jumper GPIO18-&gt;GPIO4).</t>
  </si>
  <si>
    <t xml:space="preserve">Tempo virtual deterministico: -icount shift=2 (4 ns por instrucao, ~1 ciclo por instrucao a 240 MHz). Nao e medicao em placa fisica.</t>
  </si>
  <si>
    <t xml:space="preserve">Memoria (Flash/RAM) vem do build real e e identica a de uma placa com a mesma versao.</t>
  </si>
  <si>
    <t xml:space="preserve">ABAS</t>
  </si>
  <si>
    <t xml:space="preserve">Dados_LAT, Dados_SUM, Dados_Threads, Dados_Memoria, Dados_Manual: linhas extraidas dos logs brutos (pasta logs/).</t>
  </si>
  <si>
    <t xml:space="preserve">Exp1-3, Exp4, Exp5, Exp6, Exp7, Exp8: tabelas da apostila calculadas por formula a partir das abas de dados.</t>
  </si>
  <si>
    <t xml:space="preserve">Latencias em microssegundos (us); CPU e perdas em %. 'sem amostras' = nenhum evento detectado.</t>
  </si>
  <si>
    <t xml:space="preserve">experimento</t>
  </si>
  <si>
    <t xml:space="preserve">execucao</t>
  </si>
  <si>
    <t xml:space="preserve">modo</t>
  </si>
  <si>
    <t xml:space="preserve">metrica</t>
  </si>
  <si>
    <t xml:space="preserve">n</t>
  </si>
  <si>
    <t xml:space="preserve">min (ns)</t>
  </si>
  <si>
    <t xml:space="preserve">media (ns)</t>
  </si>
  <si>
    <t xml:space="preserve">max (ns)</t>
  </si>
  <si>
    <t xml:space="preserve">min (us)</t>
  </si>
  <si>
    <t xml:space="preserve">media (us)</t>
  </si>
  <si>
    <t xml:space="preserve">max (us)</t>
  </si>
  <si>
    <t xml:space="preserve">exp4_irq_thread_cpi2</t>
  </si>
  <si>
    <t xml:space="preserve">irq_thread</t>
  </si>
  <si>
    <t xml:space="preserve">lat_detect</t>
  </si>
  <si>
    <t xml:space="preserve">lat_handoff</t>
  </si>
  <si>
    <t xml:space="preserve">lat_process</t>
  </si>
  <si>
    <t xml:space="preserve">lat_proc_dur</t>
  </si>
  <si>
    <t xml:space="preserve">exp4_irq_thread</t>
  </si>
  <si>
    <t xml:space="preserve">exp4_polling_cpi2</t>
  </si>
  <si>
    <t xml:space="preserve">polling</t>
  </si>
  <si>
    <t xml:space="preserve">exp4_polling_periodo95</t>
  </si>
  <si>
    <t xml:space="preserve">exp4_polling</t>
  </si>
  <si>
    <t xml:space="preserve">exp4_workqueue_cpi2</t>
  </si>
  <si>
    <t xml:space="preserve">workqueue</t>
  </si>
  <si>
    <t xml:space="preserve">exp4_workqueue</t>
  </si>
  <si>
    <t xml:space="preserve">exp5_poll100_pulse20</t>
  </si>
  <si>
    <t xml:space="preserve">exp5_poll100_pulse5</t>
  </si>
  <si>
    <t xml:space="preserve">exp5_poll10_pulse20</t>
  </si>
  <si>
    <t xml:space="preserve">exp5_poll10_pulse5</t>
  </si>
  <si>
    <t xml:space="preserve">exp5_poll1_pulse20</t>
  </si>
  <si>
    <t xml:space="preserve">exp5_poll1_pulse5</t>
  </si>
  <si>
    <t xml:space="preserve">exp5_poll50_pulse20</t>
  </si>
  <si>
    <t xml:space="preserve">exp5_poll50_pulse5</t>
  </si>
  <si>
    <t xml:space="preserve">exp5_poll5_pulse20</t>
  </si>
  <si>
    <t xml:space="preserve">exp5_poll5_pulse5</t>
  </si>
  <si>
    <t xml:space="preserve">exp6a_irq_thread_proc0</t>
  </si>
  <si>
    <t xml:space="preserve">exp6a_irq_thread_proc10000</t>
  </si>
  <si>
    <t xml:space="preserve">exp6a_irq_thread_proc1000</t>
  </si>
  <si>
    <t xml:space="preserve">exp6a_irq_thread_proc50000</t>
  </si>
  <si>
    <t xml:space="preserve">exp6a_workqueue_proc0</t>
  </si>
  <si>
    <t xml:space="preserve">exp6a_workqueue_proc10000</t>
  </si>
  <si>
    <t xml:space="preserve">exp6a_workqueue_proc1000</t>
  </si>
  <si>
    <t xml:space="preserve">exp6a_workqueue_proc50000</t>
  </si>
  <si>
    <t xml:space="preserve">exp6b_irq_thread_saturacao</t>
  </si>
  <si>
    <t xml:space="preserve">exp6b_polling_saturacao</t>
  </si>
  <si>
    <t xml:space="preserve">exp6b_workqueue_saturacao</t>
  </si>
  <si>
    <t xml:space="preserve">exp7_irq_thread_hb</t>
  </si>
  <si>
    <t xml:space="preserve">exp7_isr_only_hb</t>
  </si>
  <si>
    <t xml:space="preserve">isr_only</t>
  </si>
  <si>
    <t xml:space="preserve">exp7_workqueue_hb</t>
  </si>
  <si>
    <t xml:space="preserve">exp8_irq_thread_busy</t>
  </si>
  <si>
    <t xml:space="preserve">exp8_irq_thread_rajada</t>
  </si>
  <si>
    <t xml:space="preserve">exp8_irq_thread_sleep</t>
  </si>
  <si>
    <t xml:space="preserve">exp8_polling_busy</t>
  </si>
  <si>
    <t xml:space="preserve">exp8_polling_rajada</t>
  </si>
  <si>
    <t xml:space="preserve">exp8_polling_sleep</t>
  </si>
  <si>
    <t xml:space="preserve">exp8_workqueue_busy</t>
  </si>
  <si>
    <t xml:space="preserve">exp8_workqueue_rajada</t>
  </si>
  <si>
    <t xml:space="preserve">exp8_workqueue_sleep</t>
  </si>
  <si>
    <t xml:space="preserve">poll_ms</t>
  </si>
  <si>
    <t xml:space="preserve">proc_us</t>
  </si>
  <si>
    <t xml:space="preserve">period_ms</t>
  </si>
  <si>
    <t xml:space="preserve">pulse_ms</t>
  </si>
  <si>
    <t xml:space="preserve">gerados</t>
  </si>
  <si>
    <t xml:space="preserve">detectados</t>
  </si>
  <si>
    <t xml:space="preserve">processados</t>
  </si>
  <si>
    <t xml:space="preserve">cpu_x100</t>
  </si>
  <si>
    <t xml:space="preserve">cpu_est_x100</t>
  </si>
  <si>
    <t xml:space="preserve">janela (ms)</t>
  </si>
  <si>
    <t xml:space="preserve">heartbeat max (ms)</t>
  </si>
  <si>
    <t xml:space="preserve">perdidos</t>
  </si>
  <si>
    <t xml:space="preserve">perdidos (%)</t>
  </si>
  <si>
    <t xml:space="preserve">CPU ocupada</t>
  </si>
  <si>
    <t xml:space="preserve">CPU estimada</t>
  </si>
  <si>
    <t xml:space="preserve">thread</t>
  </si>
  <si>
    <t xml:space="preserve">pilha usada (B)</t>
  </si>
  <si>
    <t xml:space="preserve">pilha total (B)</t>
  </si>
  <si>
    <t xml:space="preserve">CPU (%) Thread Analyzer</t>
  </si>
  <si>
    <t xml:space="preserve">uso da pilha</t>
  </si>
  <si>
    <t xml:space="preserve">CPU (fracao)</t>
  </si>
  <si>
    <t xml:space="preserve">exp1-3_irq_thread_manual</t>
  </si>
  <si>
    <t xml:space="preserve">worker</t>
  </si>
  <si>
    <t xml:space="preserve">idle</t>
  </si>
  <si>
    <t xml:space="preserve">main</t>
  </si>
  <si>
    <t xml:space="preserve">exp1-3_polling_manual</t>
  </si>
  <si>
    <t xml:space="preserve">poll</t>
  </si>
  <si>
    <t xml:space="preserve">ISR0</t>
  </si>
  <si>
    <t xml:space="preserve">exp1-3_workqueue_manual</t>
  </si>
  <si>
    <t xml:space="preserve">sysworkq</t>
  </si>
  <si>
    <t xml:space="preserve">heartbeat</t>
  </si>
  <si>
    <t xml:space="preserve">build</t>
  </si>
  <si>
    <t xml:space="preserve">FLASH (B)</t>
  </si>
  <si>
    <t xml:space="preserve">iram0_0_seg (B)</t>
  </si>
  <si>
    <t xml:space="preserve">dram0_0_seg (B)</t>
  </si>
  <si>
    <t xml:space="preserve">.dram0.noinit - pilhas (B)</t>
  </si>
  <si>
    <t xml:space="preserve">RAM estatica total (B)</t>
  </si>
  <si>
    <t xml:space="preserve">toques no botao (trace)</t>
  </si>
  <si>
    <t xml:space="preserve">toques de 4 ms</t>
  </si>
  <si>
    <t xml:space="preserve">eventos processados</t>
  </si>
  <si>
    <t xml:space="preserve">contador a cada 10 s</t>
  </si>
  <si>
    <t xml:space="preserve">pilha thread evento</t>
  </si>
  <si>
    <t xml:space="preserve">8 / 17 / 25</t>
  </si>
  <si>
    <t xml:space="preserve">560 / 1024</t>
  </si>
  <si>
    <t xml:space="preserve">6 / 15 / 22</t>
  </si>
  <si>
    <t xml:space="preserve">576 / 1024</t>
  </si>
  <si>
    <t xml:space="preserve">608 / 1024</t>
  </si>
  <si>
    <t xml:space="preserve">Experimentos 1 a 3 - modo manual (25 toques roteirizados, 30 s)</t>
  </si>
  <si>
    <t xml:space="preserve">Toques de 80-220 ms a cada 0,4-1,5 s; 1 a cada 5 e um toque rapido de 4 ms. Sem bounce (o botao emulado e limpo).</t>
  </si>
  <si>
    <t xml:space="preserve">Modo</t>
  </si>
  <si>
    <t xml:space="preserve">Toques gerados</t>
  </si>
  <si>
    <t xml:space="preserve">Toques de 4 ms</t>
  </si>
  <si>
    <t xml:space="preserve">Eventos processados</t>
  </si>
  <si>
    <t xml:space="preserve">Nao detectados</t>
  </si>
  <si>
    <t xml:space="preserve">Pilha da thread do evento (B)</t>
  </si>
  <si>
    <t xml:space="preserve">Polling</t>
  </si>
  <si>
    <t xml:space="preserve">ISR + thread</t>
  </si>
  <si>
    <t xml:space="preserve">ISR + work queue</t>
  </si>
  <si>
    <t xml:space="preserve">Tabela 10.1 - Tempo (us): media das 3 execucoes</t>
  </si>
  <si>
    <t xml:space="preserve">Padroes do Kconfig: 200 eventos, periodo 97 ms, pulso 20 ms, sem carga, polling 10 ms.</t>
  </si>
  <si>
    <t xml:space="preserve">Metrica</t>
  </si>
  <si>
    <t xml:space="preserve">Polling (P = 10 ms)</t>
  </si>
  <si>
    <t xml:space="preserve">lat_detect - media</t>
  </si>
  <si>
    <t xml:space="preserve">lat_detect - maximo</t>
  </si>
  <si>
    <t xml:space="preserve">lat_handoff - media</t>
  </si>
  <si>
    <t xml:space="preserve">n/a</t>
  </si>
  <si>
    <t xml:space="preserve">lat_handoff - maximo</t>
  </si>
  <si>
    <t xml:space="preserve">lat_process - media</t>
  </si>
  <si>
    <t xml:space="preserve">lat_process - maximo</t>
  </si>
  <si>
    <t xml:space="preserve">lat_proc_dur - media</t>
  </si>
  <si>
    <t xml:space="preserve">Jitter de lat_process (max - min)</t>
  </si>
  <si>
    <t xml:space="preserve">Amplitude da media de lat_process entre as 3 execucoes</t>
  </si>
  <si>
    <t xml:space="preserve">Tabela 10.1b - Polling com estimulo fora de fase e sensibilidade ao CPI</t>
  </si>
  <si>
    <t xml:space="preserve">Periodo 95 ms = 97 ticks reais (k_msleep arredonda +1 tick). CPI~2: -icount shift=3 (8 ns/instrucao), 1 execucao.</t>
  </si>
  <si>
    <t xml:space="preserve">Metrica (us)</t>
  </si>
  <si>
    <t xml:space="preserve">Polling, periodo 95 ms</t>
  </si>
  <si>
    <t xml:space="preserve">Polling CPI~2</t>
  </si>
  <si>
    <t xml:space="preserve">ISR + thread CPI~2</t>
  </si>
  <si>
    <t xml:space="preserve">ISR + work queue CPI~2</t>
  </si>
  <si>
    <t xml:space="preserve">Tabela 10.2 - Eventos (media das 3 execucoes)</t>
  </si>
  <si>
    <t xml:space="preserve">Gerados</t>
  </si>
  <si>
    <t xml:space="preserve">Detectados</t>
  </si>
  <si>
    <t xml:space="preserve">Processados</t>
  </si>
  <si>
    <t xml:space="preserve">Perdidos</t>
  </si>
  <si>
    <t xml:space="preserve">Tabela 10.3 - CPU (media das 3 execucoes)</t>
  </si>
  <si>
    <t xml:space="preserve">CPU ocupada (kernel)</t>
  </si>
  <si>
    <t xml:space="preserve">CPU estimada (processamento)</t>
  </si>
  <si>
    <t xml:space="preserve">idle (Thread Analyzer)</t>
  </si>
  <si>
    <t xml:space="preserve">Thread do evento (poll/worker/sysworkq)</t>
  </si>
  <si>
    <t xml:space="preserve">main (gerador de estimulo)</t>
  </si>
  <si>
    <t xml:space="preserve">Tabela 10.4 - Memoria</t>
  </si>
  <si>
    <t xml:space="preserve">Flash = regiao FLASH do resumo do build. RAM = dram0_0_seg (dados+bss) + .dram0.noinit (pilhas, contadas na regiao dram1 do resumo). Pilhas: Thread Analyzer (usada / total).</t>
  </si>
  <si>
    <t xml:space="preserve">Flash usada (bytes)</t>
  </si>
  <si>
    <t xml:space="preserve">RAM dram0_0_seg - dados + bss (bytes)</t>
  </si>
  <si>
    <t xml:space="preserve">RAM .dram0.noinit - pilhas de todas as threads (bytes)</t>
  </si>
  <si>
    <t xml:space="preserve">RAM estatica total (bytes)</t>
  </si>
  <si>
    <t xml:space="preserve">IRAM iram0_0_seg (bytes)</t>
  </si>
  <si>
    <t xml:space="preserve">Pilha da thread do evento</t>
  </si>
  <si>
    <t xml:space="preserve">n/a (usa a sysworkq)</t>
  </si>
  <si>
    <t xml:space="preserve">Pilha da sysworkq</t>
  </si>
  <si>
    <t xml:space="preserve">n/a (nao listada)</t>
  </si>
  <si>
    <t xml:space="preserve">Pilha da ISR (ISR0)</t>
  </si>
  <si>
    <t xml:space="preserve">Pilha da main</t>
  </si>
  <si>
    <t xml:space="preserve">sizeof(k_thread) / k_sem / k_work / k_work_q (bytes)</t>
  </si>
  <si>
    <t xml:space="preserve">184 / 16 / 16 / 216</t>
  </si>
  <si>
    <t xml:space="preserve">Flash: diferenca para o polling (bytes)</t>
  </si>
  <si>
    <t xml:space="preserve">RAM estatica total: diferenca para o polling (bytes)</t>
  </si>
  <si>
    <t xml:space="preserve">Tabela 11.1 - Varredura do periodo de polling (media de 3 execucoes)</t>
  </si>
  <si>
    <t xml:space="preserve">Periodo do estimulo 95 ms (97 ticks reais) para varrer todas as fases do polling.</t>
  </si>
  <si>
    <t xml:space="preserve">P (ms)</t>
  </si>
  <si>
    <t xml:space="preserve">Pulso (ms)</t>
  </si>
  <si>
    <t xml:space="preserve">Lat. media (us)</t>
  </si>
  <si>
    <t xml:space="preserve">Lat. max (us)</t>
  </si>
  <si>
    <t xml:space="preserve">Perdidos (%)</t>
  </si>
  <si>
    <t xml:space="preserve">Tabela 12.1 - Carga por evento (periodo do estimulo = 97 ms)</t>
  </si>
  <si>
    <t xml:space="preserve">Carga (us)</t>
  </si>
  <si>
    <t xml:space="preserve">Lat. process media (us)</t>
  </si>
  <si>
    <t xml:space="preserve">Tabela 12.2 - Saturacao (tratamento 30 ms &gt; periodo 23 ms; main prioridade 0)</t>
  </si>
  <si>
    <t xml:space="preserve">Tabela 13.1 - Impacto no escalonamento (carga de 20 ms por evento)</t>
  </si>
  <si>
    <t xml:space="preserve">Heartbeat: thread de prioridade 0 que acorda a cada 1 ms (baseline ~1-2 ms).</t>
  </si>
  <si>
    <t xml:space="preserve">Modo (carga 20 ms)</t>
  </si>
  <si>
    <t xml:space="preserve">Maior intervalo do heartbeat (ms)</t>
  </si>
  <si>
    <t xml:space="preserve">ISR only (anti-padrao)</t>
  </si>
  <si>
    <t xml:space="preserve">Desafio final - processamento de 100 ms por evento</t>
  </si>
  <si>
    <t xml:space="preserve">sleep = k_msleep(100) (thread dorme); busy = k_busy_wait(100 ms) (consome CPU). Periodo 197 ms (~5 ev/s); rajada = periodo 47 ms (~20 ev/s) com busy. 50 eventos.</t>
  </si>
  <si>
    <t xml:space="preserve">Versao</t>
  </si>
  <si>
    <t xml:space="preserve">Cenario</t>
  </si>
  <si>
    <t xml:space="preserve">Lat. process max (us)</t>
  </si>
  <si>
    <t xml:space="preserve">Duracao do tratamento (ms)</t>
  </si>
  <si>
    <t xml:space="preserve">Flash (B)</t>
  </si>
  <si>
    <t xml:space="preserve">Pilha thread evento (B)</t>
  </si>
  <si>
    <t xml:space="preserve">sleep</t>
  </si>
  <si>
    <t xml:space="preserve">busy</t>
  </si>
  <si>
    <t xml:space="preserve">rajada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</si>
</sst>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"/>
    <numFmt numFmtId="167" formatCode="0.0%"/>
    <numFmt numFmtId="168" formatCode="0.00%"/>
    <numFmt numFmtId="169" formatCode="0%"/>
    <numFmt numFmtId="170" formatCode="#,##0"/>
    <numFmt numFmtId="171" formatCode="0.00"/>
    <numFmt numFmtId="172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Latencia media de deteccao x 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"pulso 20 ms"</c:f>
              <c:strCache>
                <c:ptCount val="1"/>
                <c:pt idx="0">
                  <c:v>pulso 20 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Exp5!$A$5:$A$9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strCache>
            </c:strRef>
          </c:cat>
          <c:val>
            <c:numRef>
              <c:f>Exp5!$C$5:$C$9</c:f>
              <c:numCache>
                <c:formatCode>#,##0.00</c:formatCode>
                <c:ptCount val="5"/>
                <c:pt idx="0">
                  <c:v>1497.07</c:v>
                </c:pt>
                <c:pt idx="1">
                  <c:v>3478.979</c:v>
                </c:pt>
                <c:pt idx="2">
                  <c:v>6029.408</c:v>
                </c:pt>
                <c:pt idx="3">
                  <c:v>10875.058</c:v>
                </c:pt>
                <c:pt idx="4">
                  <c:v>4442.65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"pulso 5 ms"</c:f>
              <c:strCache>
                <c:ptCount val="1"/>
                <c:pt idx="0">
                  <c:v>pulso 5 ms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Exp5!$A$5:$A$9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strCache>
            </c:strRef>
          </c:cat>
          <c:val>
            <c:numRef>
              <c:f>Exp5!$C$10:$C$14</c:f>
              <c:numCache>
                <c:formatCode>#,##0.00</c:formatCode>
                <c:ptCount val="5"/>
                <c:pt idx="0">
                  <c:v>1497.075</c:v>
                </c:pt>
                <c:pt idx="1">
                  <c:v>3479.229</c:v>
                </c:pt>
                <c:pt idx="2">
                  <c:v>3500.254</c:v>
                </c:pt>
                <c:pt idx="3">
                  <c:v>3391.504</c:v>
                </c:pt>
                <c:pt idx="4">
                  <c:v>2500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840154"/>
        <c:axId val="71547684"/>
      </c:lineChart>
      <c:catAx>
        <c:axId val="188401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47684"/>
        <c:crosses val="autoZero"/>
        <c:auto val="1"/>
        <c:lblAlgn val="ctr"/>
        <c:lblOffset val="100"/>
        <c:noMultiLvlLbl val="0"/>
      </c:catAx>
      <c:valAx>
        <c:axId val="71547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40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CPU ocupada x 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"pulso 20 ms"</c:f>
              <c:strCache>
                <c:ptCount val="1"/>
                <c:pt idx="0">
                  <c:v>pulso 20 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Exp5!$A$5:$A$9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strCache>
            </c:strRef>
          </c:cat>
          <c:val>
            <c:numRef>
              <c:f>Exp5!$E$5:$E$9</c:f>
              <c:numCache>
                <c:formatCode>0.00%</c:formatCode>
                <c:ptCount val="5"/>
                <c:pt idx="0">
                  <c:v>0.0012</c:v>
                </c:pt>
                <c:pt idx="1">
                  <c:v>0.0004</c:v>
                </c:pt>
                <c:pt idx="2">
                  <c:v>0.0002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"pulso 5 ms"</c:f>
              <c:strCache>
                <c:ptCount val="1"/>
                <c:pt idx="0">
                  <c:v>pulso 5 ms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Exp5!$A$5:$A$9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strCache>
            </c:strRef>
          </c:cat>
          <c:val>
            <c:numRef>
              <c:f>Exp5!$E$10:$E$14</c:f>
              <c:numCache>
                <c:formatCode>0.00%</c:formatCode>
                <c:ptCount val="5"/>
                <c:pt idx="0">
                  <c:v>0.0012</c:v>
                </c:pt>
                <c:pt idx="1">
                  <c:v>0.0004</c:v>
                </c:pt>
                <c:pt idx="2">
                  <c:v>0.0002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25372"/>
        <c:axId val="37172457"/>
      </c:lineChart>
      <c:catAx>
        <c:axId val="4225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72457"/>
        <c:crosses val="autoZero"/>
        <c:auto val="1"/>
        <c:lblAlgn val="ctr"/>
        <c:lblOffset val="100"/>
        <c:noMultiLvlLbl val="0"/>
      </c:catAx>
      <c:valAx>
        <c:axId val="37172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CPU ocupada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5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Eventos perdidos x 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"pulso 20 ms"</c:f>
              <c:strCache>
                <c:ptCount val="1"/>
                <c:pt idx="0">
                  <c:v>pulso 20 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Exp5!$A$5:$A$9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strCache>
            </c:strRef>
          </c:cat>
          <c:val>
            <c:numRef>
              <c:f>Exp5!$H$5:$H$9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  <c:pt idx="4">
                  <c:v>0.955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"pulso 5 ms"</c:f>
              <c:strCache>
                <c:ptCount val="1"/>
                <c:pt idx="0">
                  <c:v>pulso 5 ms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Exp5!$A$5:$A$9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strCache>
            </c:strRef>
          </c:cat>
          <c:val>
            <c:numRef>
              <c:f>Exp5!$H$10:$H$14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0.46</c:v>
                </c:pt>
                <c:pt idx="3">
                  <c:v>0.885</c:v>
                </c:pt>
                <c:pt idx="4">
                  <c:v>0.96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428213"/>
        <c:axId val="42774117"/>
      </c:lineChart>
      <c:catAx>
        <c:axId val="474282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74117"/>
        <c:crosses val="autoZero"/>
        <c:auto val="1"/>
        <c:lblAlgn val="ctr"/>
        <c:lblOffset val="100"/>
        <c:noMultiLvlLbl val="0"/>
      </c:catAx>
      <c:valAx>
        <c:axId val="42774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perdidos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28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17</xdr:col>
      <xdr:colOff>507600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787140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17</xdr:col>
      <xdr:colOff>507600</xdr:colOff>
      <xdr:row>35</xdr:row>
      <xdr:rowOff>21960</xdr:rowOff>
    </xdr:to>
    <xdr:graphicFrame>
      <xdr:nvGraphicFramePr>
        <xdr:cNvPr id="1" name="Chart 2"/>
        <xdr:cNvGraphicFramePr/>
      </xdr:nvGraphicFramePr>
      <xdr:xfrm>
        <a:off x="7871400" y="3809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38</xdr:row>
      <xdr:rowOff>0</xdr:rowOff>
    </xdr:from>
    <xdr:to>
      <xdr:col>17</xdr:col>
      <xdr:colOff>507600</xdr:colOff>
      <xdr:row>53</xdr:row>
      <xdr:rowOff>21960</xdr:rowOff>
    </xdr:to>
    <xdr:graphicFrame>
      <xdr:nvGraphicFramePr>
        <xdr:cNvPr id="2" name="Chart 3"/>
        <xdr:cNvGraphicFramePr/>
      </xdr:nvGraphicFramePr>
      <xdr:xfrm>
        <a:off x="7871400" y="7238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14" min="4" style="0" width="12"/>
  </cols>
  <sheetData>
    <row r="1" customFormat="false" ht="23.8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customFormat="false" ht="15" hidden="false" customHeight="false" outlineLevel="0" collapsed="false">
      <c r="A2" s="2" t="s">
        <v>22</v>
      </c>
      <c r="B2" s="2" t="n">
        <v>1</v>
      </c>
      <c r="C2" s="2" t="s">
        <v>23</v>
      </c>
      <c r="D2" s="2" t="s">
        <v>24</v>
      </c>
      <c r="E2" s="2" t="n">
        <v>200</v>
      </c>
      <c r="F2" s="2" t="n">
        <v>2204</v>
      </c>
      <c r="G2" s="2" t="n">
        <v>2204</v>
      </c>
      <c r="H2" s="2" t="n">
        <v>2208</v>
      </c>
      <c r="I2" s="4" t="n">
        <f aca="false">F2/1000</f>
        <v>2.204</v>
      </c>
      <c r="J2" s="4" t="n">
        <f aca="false">G2/1000</f>
        <v>2.204</v>
      </c>
      <c r="K2" s="4" t="n">
        <f aca="false">H2/1000</f>
        <v>2.208</v>
      </c>
    </row>
    <row r="3" customFormat="false" ht="15" hidden="false" customHeight="false" outlineLevel="0" collapsed="false">
      <c r="A3" s="2" t="s">
        <v>22</v>
      </c>
      <c r="B3" s="2" t="n">
        <v>1</v>
      </c>
      <c r="C3" s="2" t="s">
        <v>23</v>
      </c>
      <c r="D3" s="2" t="s">
        <v>25</v>
      </c>
      <c r="E3" s="2" t="n">
        <v>200</v>
      </c>
      <c r="F3" s="2" t="n">
        <v>6637</v>
      </c>
      <c r="G3" s="2" t="n">
        <v>6637</v>
      </c>
      <c r="H3" s="2" t="n">
        <v>6658</v>
      </c>
      <c r="I3" s="4" t="n">
        <f aca="false">F3/1000</f>
        <v>6.637</v>
      </c>
      <c r="J3" s="4" t="n">
        <f aca="false">G3/1000</f>
        <v>6.637</v>
      </c>
      <c r="K3" s="4" t="n">
        <f aca="false">H3/1000</f>
        <v>6.658</v>
      </c>
    </row>
    <row r="4" customFormat="false" ht="15" hidden="false" customHeight="false" outlineLevel="0" collapsed="false">
      <c r="A4" s="2" t="s">
        <v>22</v>
      </c>
      <c r="B4" s="2" t="n">
        <v>1</v>
      </c>
      <c r="C4" s="2" t="s">
        <v>23</v>
      </c>
      <c r="D4" s="2" t="s">
        <v>26</v>
      </c>
      <c r="E4" s="2" t="n">
        <v>200</v>
      </c>
      <c r="F4" s="2" t="n">
        <v>8845</v>
      </c>
      <c r="G4" s="2" t="n">
        <v>8845</v>
      </c>
      <c r="H4" s="2" t="n">
        <v>8866</v>
      </c>
      <c r="I4" s="4" t="n">
        <f aca="false">F4/1000</f>
        <v>8.845</v>
      </c>
      <c r="J4" s="4" t="n">
        <f aca="false">G4/1000</f>
        <v>8.845</v>
      </c>
      <c r="K4" s="4" t="n">
        <f aca="false">H4/1000</f>
        <v>8.866</v>
      </c>
    </row>
    <row r="5" customFormat="false" ht="15" hidden="false" customHeight="false" outlineLevel="0" collapsed="false">
      <c r="A5" s="2" t="s">
        <v>22</v>
      </c>
      <c r="B5" s="2" t="n">
        <v>1</v>
      </c>
      <c r="C5" s="2" t="s">
        <v>23</v>
      </c>
      <c r="D5" s="2" t="s">
        <v>27</v>
      </c>
      <c r="E5" s="2" t="n">
        <v>200</v>
      </c>
      <c r="F5" s="2" t="n">
        <v>358</v>
      </c>
      <c r="G5" s="2" t="n">
        <v>358</v>
      </c>
      <c r="H5" s="2" t="n">
        <v>362</v>
      </c>
      <c r="I5" s="4" t="n">
        <f aca="false">F5/1000</f>
        <v>0.358</v>
      </c>
      <c r="J5" s="4" t="n">
        <f aca="false">G5/1000</f>
        <v>0.358</v>
      </c>
      <c r="K5" s="4" t="n">
        <f aca="false">H5/1000</f>
        <v>0.362</v>
      </c>
    </row>
    <row r="6" customFormat="false" ht="15" hidden="false" customHeight="false" outlineLevel="0" collapsed="false">
      <c r="A6" s="2" t="s">
        <v>28</v>
      </c>
      <c r="B6" s="2" t="n">
        <v>1</v>
      </c>
      <c r="C6" s="2" t="s">
        <v>23</v>
      </c>
      <c r="D6" s="2" t="s">
        <v>24</v>
      </c>
      <c r="E6" s="2" t="n">
        <v>200</v>
      </c>
      <c r="F6" s="2" t="n">
        <v>1104</v>
      </c>
      <c r="G6" s="2" t="n">
        <v>1104</v>
      </c>
      <c r="H6" s="2" t="n">
        <v>1104</v>
      </c>
      <c r="I6" s="4" t="n">
        <f aca="false">F6/1000</f>
        <v>1.104</v>
      </c>
      <c r="J6" s="4" t="n">
        <f aca="false">G6/1000</f>
        <v>1.104</v>
      </c>
      <c r="K6" s="4" t="n">
        <f aca="false">H6/1000</f>
        <v>1.104</v>
      </c>
    </row>
    <row r="7" customFormat="false" ht="15" hidden="false" customHeight="false" outlineLevel="0" collapsed="false">
      <c r="A7" s="2" t="s">
        <v>28</v>
      </c>
      <c r="B7" s="2" t="n">
        <v>1</v>
      </c>
      <c r="C7" s="2" t="s">
        <v>23</v>
      </c>
      <c r="D7" s="2" t="s">
        <v>25</v>
      </c>
      <c r="E7" s="2" t="n">
        <v>200</v>
      </c>
      <c r="F7" s="2" t="n">
        <v>3316</v>
      </c>
      <c r="G7" s="2" t="n">
        <v>3316</v>
      </c>
      <c r="H7" s="2" t="n">
        <v>3329</v>
      </c>
      <c r="I7" s="4" t="n">
        <f aca="false">F7/1000</f>
        <v>3.316</v>
      </c>
      <c r="J7" s="4" t="n">
        <f aca="false">G7/1000</f>
        <v>3.316</v>
      </c>
      <c r="K7" s="4" t="n">
        <f aca="false">H7/1000</f>
        <v>3.329</v>
      </c>
    </row>
    <row r="8" customFormat="false" ht="15" hidden="false" customHeight="false" outlineLevel="0" collapsed="false">
      <c r="A8" s="2" t="s">
        <v>28</v>
      </c>
      <c r="B8" s="2" t="n">
        <v>1</v>
      </c>
      <c r="C8" s="2" t="s">
        <v>23</v>
      </c>
      <c r="D8" s="2" t="s">
        <v>26</v>
      </c>
      <c r="E8" s="2" t="n">
        <v>200</v>
      </c>
      <c r="F8" s="2" t="n">
        <v>4420</v>
      </c>
      <c r="G8" s="2" t="n">
        <v>4420</v>
      </c>
      <c r="H8" s="2" t="n">
        <v>4433</v>
      </c>
      <c r="I8" s="4" t="n">
        <f aca="false">F8/1000</f>
        <v>4.42</v>
      </c>
      <c r="J8" s="4" t="n">
        <f aca="false">G8/1000</f>
        <v>4.42</v>
      </c>
      <c r="K8" s="4" t="n">
        <f aca="false">H8/1000</f>
        <v>4.433</v>
      </c>
    </row>
    <row r="9" customFormat="false" ht="15" hidden="false" customHeight="false" outlineLevel="0" collapsed="false">
      <c r="A9" s="2" t="s">
        <v>28</v>
      </c>
      <c r="B9" s="2" t="n">
        <v>1</v>
      </c>
      <c r="C9" s="2" t="s">
        <v>23</v>
      </c>
      <c r="D9" s="2" t="s">
        <v>27</v>
      </c>
      <c r="E9" s="2" t="n">
        <v>200</v>
      </c>
      <c r="F9" s="2" t="n">
        <v>179</v>
      </c>
      <c r="G9" s="2" t="n">
        <v>179</v>
      </c>
      <c r="H9" s="2" t="n">
        <v>183</v>
      </c>
      <c r="I9" s="4" t="n">
        <f aca="false">F9/1000</f>
        <v>0.179</v>
      </c>
      <c r="J9" s="4" t="n">
        <f aca="false">G9/1000</f>
        <v>0.179</v>
      </c>
      <c r="K9" s="4" t="n">
        <f aca="false">H9/1000</f>
        <v>0.183</v>
      </c>
    </row>
    <row r="10" customFormat="false" ht="15" hidden="false" customHeight="false" outlineLevel="0" collapsed="false">
      <c r="A10" s="2" t="s">
        <v>28</v>
      </c>
      <c r="B10" s="2" t="n">
        <v>2</v>
      </c>
      <c r="C10" s="2" t="s">
        <v>23</v>
      </c>
      <c r="D10" s="2" t="s">
        <v>24</v>
      </c>
      <c r="E10" s="2" t="n">
        <v>200</v>
      </c>
      <c r="F10" s="2" t="n">
        <v>1104</v>
      </c>
      <c r="G10" s="2" t="n">
        <v>1104</v>
      </c>
      <c r="H10" s="2" t="n">
        <v>1104</v>
      </c>
      <c r="I10" s="4" t="n">
        <f aca="false">F10/1000</f>
        <v>1.104</v>
      </c>
      <c r="J10" s="4" t="n">
        <f aca="false">G10/1000</f>
        <v>1.104</v>
      </c>
      <c r="K10" s="4" t="n">
        <f aca="false">H10/1000</f>
        <v>1.104</v>
      </c>
    </row>
    <row r="11" customFormat="false" ht="15" hidden="false" customHeight="false" outlineLevel="0" collapsed="false">
      <c r="A11" s="2" t="s">
        <v>28</v>
      </c>
      <c r="B11" s="2" t="n">
        <v>2</v>
      </c>
      <c r="C11" s="2" t="s">
        <v>23</v>
      </c>
      <c r="D11" s="2" t="s">
        <v>25</v>
      </c>
      <c r="E11" s="2" t="n">
        <v>200</v>
      </c>
      <c r="F11" s="2" t="n">
        <v>3316</v>
      </c>
      <c r="G11" s="2" t="n">
        <v>3316</v>
      </c>
      <c r="H11" s="2" t="n">
        <v>3329</v>
      </c>
      <c r="I11" s="4" t="n">
        <f aca="false">F11/1000</f>
        <v>3.316</v>
      </c>
      <c r="J11" s="4" t="n">
        <f aca="false">G11/1000</f>
        <v>3.316</v>
      </c>
      <c r="K11" s="4" t="n">
        <f aca="false">H11/1000</f>
        <v>3.329</v>
      </c>
    </row>
    <row r="12" customFormat="false" ht="15" hidden="false" customHeight="false" outlineLevel="0" collapsed="false">
      <c r="A12" s="2" t="s">
        <v>28</v>
      </c>
      <c r="B12" s="2" t="n">
        <v>2</v>
      </c>
      <c r="C12" s="2" t="s">
        <v>23</v>
      </c>
      <c r="D12" s="2" t="s">
        <v>26</v>
      </c>
      <c r="E12" s="2" t="n">
        <v>200</v>
      </c>
      <c r="F12" s="2" t="n">
        <v>4420</v>
      </c>
      <c r="G12" s="2" t="n">
        <v>4420</v>
      </c>
      <c r="H12" s="2" t="n">
        <v>4433</v>
      </c>
      <c r="I12" s="4" t="n">
        <f aca="false">F12/1000</f>
        <v>4.42</v>
      </c>
      <c r="J12" s="4" t="n">
        <f aca="false">G12/1000</f>
        <v>4.42</v>
      </c>
      <c r="K12" s="4" t="n">
        <f aca="false">H12/1000</f>
        <v>4.433</v>
      </c>
    </row>
    <row r="13" customFormat="false" ht="15" hidden="false" customHeight="false" outlineLevel="0" collapsed="false">
      <c r="A13" s="2" t="s">
        <v>28</v>
      </c>
      <c r="B13" s="2" t="n">
        <v>2</v>
      </c>
      <c r="C13" s="2" t="s">
        <v>23</v>
      </c>
      <c r="D13" s="2" t="s">
        <v>27</v>
      </c>
      <c r="E13" s="2" t="n">
        <v>200</v>
      </c>
      <c r="F13" s="2" t="n">
        <v>179</v>
      </c>
      <c r="G13" s="2" t="n">
        <v>179</v>
      </c>
      <c r="H13" s="2" t="n">
        <v>183</v>
      </c>
      <c r="I13" s="4" t="n">
        <f aca="false">F13/1000</f>
        <v>0.179</v>
      </c>
      <c r="J13" s="4" t="n">
        <f aca="false">G13/1000</f>
        <v>0.179</v>
      </c>
      <c r="K13" s="4" t="n">
        <f aca="false">H13/1000</f>
        <v>0.183</v>
      </c>
    </row>
    <row r="14" customFormat="false" ht="15" hidden="false" customHeight="false" outlineLevel="0" collapsed="false">
      <c r="A14" s="2" t="s">
        <v>28</v>
      </c>
      <c r="B14" s="2" t="n">
        <v>3</v>
      </c>
      <c r="C14" s="2" t="s">
        <v>23</v>
      </c>
      <c r="D14" s="2" t="s">
        <v>24</v>
      </c>
      <c r="E14" s="2" t="n">
        <v>200</v>
      </c>
      <c r="F14" s="2" t="n">
        <v>1104</v>
      </c>
      <c r="G14" s="2" t="n">
        <v>1104</v>
      </c>
      <c r="H14" s="2" t="n">
        <v>1104</v>
      </c>
      <c r="I14" s="4" t="n">
        <f aca="false">F14/1000</f>
        <v>1.104</v>
      </c>
      <c r="J14" s="4" t="n">
        <f aca="false">G14/1000</f>
        <v>1.104</v>
      </c>
      <c r="K14" s="4" t="n">
        <f aca="false">H14/1000</f>
        <v>1.104</v>
      </c>
    </row>
    <row r="15" customFormat="false" ht="15" hidden="false" customHeight="false" outlineLevel="0" collapsed="false">
      <c r="A15" s="2" t="s">
        <v>28</v>
      </c>
      <c r="B15" s="2" t="n">
        <v>3</v>
      </c>
      <c r="C15" s="2" t="s">
        <v>23</v>
      </c>
      <c r="D15" s="2" t="s">
        <v>25</v>
      </c>
      <c r="E15" s="2" t="n">
        <v>200</v>
      </c>
      <c r="F15" s="2" t="n">
        <v>3316</v>
      </c>
      <c r="G15" s="2" t="n">
        <v>3316</v>
      </c>
      <c r="H15" s="2" t="n">
        <v>3329</v>
      </c>
      <c r="I15" s="4" t="n">
        <f aca="false">F15/1000</f>
        <v>3.316</v>
      </c>
      <c r="J15" s="4" t="n">
        <f aca="false">G15/1000</f>
        <v>3.316</v>
      </c>
      <c r="K15" s="4" t="n">
        <f aca="false">H15/1000</f>
        <v>3.329</v>
      </c>
    </row>
    <row r="16" customFormat="false" ht="15" hidden="false" customHeight="false" outlineLevel="0" collapsed="false">
      <c r="A16" s="2" t="s">
        <v>28</v>
      </c>
      <c r="B16" s="2" t="n">
        <v>3</v>
      </c>
      <c r="C16" s="2" t="s">
        <v>23</v>
      </c>
      <c r="D16" s="2" t="s">
        <v>26</v>
      </c>
      <c r="E16" s="2" t="n">
        <v>200</v>
      </c>
      <c r="F16" s="2" t="n">
        <v>4420</v>
      </c>
      <c r="G16" s="2" t="n">
        <v>4420</v>
      </c>
      <c r="H16" s="2" t="n">
        <v>4433</v>
      </c>
      <c r="I16" s="4" t="n">
        <f aca="false">F16/1000</f>
        <v>4.42</v>
      </c>
      <c r="J16" s="4" t="n">
        <f aca="false">G16/1000</f>
        <v>4.42</v>
      </c>
      <c r="K16" s="4" t="n">
        <f aca="false">H16/1000</f>
        <v>4.433</v>
      </c>
    </row>
    <row r="17" customFormat="false" ht="15" hidden="false" customHeight="false" outlineLevel="0" collapsed="false">
      <c r="A17" s="2" t="s">
        <v>28</v>
      </c>
      <c r="B17" s="2" t="n">
        <v>3</v>
      </c>
      <c r="C17" s="2" t="s">
        <v>23</v>
      </c>
      <c r="D17" s="2" t="s">
        <v>27</v>
      </c>
      <c r="E17" s="2" t="n">
        <v>200</v>
      </c>
      <c r="F17" s="2" t="n">
        <v>179</v>
      </c>
      <c r="G17" s="2" t="n">
        <v>179</v>
      </c>
      <c r="H17" s="2" t="n">
        <v>183</v>
      </c>
      <c r="I17" s="4" t="n">
        <f aca="false">F17/1000</f>
        <v>0.179</v>
      </c>
      <c r="J17" s="4" t="n">
        <f aca="false">G17/1000</f>
        <v>0.179</v>
      </c>
      <c r="K17" s="4" t="n">
        <f aca="false">H17/1000</f>
        <v>0.183</v>
      </c>
    </row>
    <row r="18" customFormat="false" ht="15" hidden="false" customHeight="false" outlineLevel="0" collapsed="false">
      <c r="A18" s="2" t="s">
        <v>29</v>
      </c>
      <c r="B18" s="2" t="n">
        <v>1</v>
      </c>
      <c r="C18" s="2" t="s">
        <v>30</v>
      </c>
      <c r="D18" s="2" t="s">
        <v>24</v>
      </c>
      <c r="E18" s="2" t="n">
        <v>200</v>
      </c>
      <c r="F18" s="2" t="n">
        <v>8967712</v>
      </c>
      <c r="G18" s="2" t="n">
        <v>8999845</v>
      </c>
      <c r="H18" s="2" t="n">
        <v>9000012</v>
      </c>
      <c r="I18" s="4" t="n">
        <f aca="false">F18/1000</f>
        <v>8967.712</v>
      </c>
      <c r="J18" s="4" t="n">
        <f aca="false">G18/1000</f>
        <v>8999.845</v>
      </c>
      <c r="K18" s="4" t="n">
        <f aca="false">H18/1000</f>
        <v>9000.012</v>
      </c>
    </row>
    <row r="19" customFormat="false" ht="15" hidden="false" customHeight="false" outlineLevel="0" collapsed="false">
      <c r="A19" s="2" t="s">
        <v>29</v>
      </c>
      <c r="B19" s="2" t="n">
        <v>1</v>
      </c>
      <c r="C19" s="2" t="s">
        <v>30</v>
      </c>
      <c r="D19" s="2" t="s">
        <v>26</v>
      </c>
      <c r="E19" s="2" t="n">
        <v>200</v>
      </c>
      <c r="F19" s="2" t="n">
        <v>8967712</v>
      </c>
      <c r="G19" s="2" t="n">
        <v>8999845</v>
      </c>
      <c r="H19" s="2" t="n">
        <v>9000012</v>
      </c>
      <c r="I19" s="4" t="n">
        <f aca="false">F19/1000</f>
        <v>8967.712</v>
      </c>
      <c r="J19" s="4" t="n">
        <f aca="false">G19/1000</f>
        <v>8999.845</v>
      </c>
      <c r="K19" s="4" t="n">
        <f aca="false">H19/1000</f>
        <v>9000.012</v>
      </c>
    </row>
    <row r="20" customFormat="false" ht="15" hidden="false" customHeight="false" outlineLevel="0" collapsed="false">
      <c r="A20" s="2" t="s">
        <v>29</v>
      </c>
      <c r="B20" s="2" t="n">
        <v>1</v>
      </c>
      <c r="C20" s="2" t="s">
        <v>30</v>
      </c>
      <c r="D20" s="2" t="s">
        <v>27</v>
      </c>
      <c r="E20" s="2" t="n">
        <v>200</v>
      </c>
      <c r="F20" s="2" t="n">
        <v>358</v>
      </c>
      <c r="G20" s="2" t="n">
        <v>358</v>
      </c>
      <c r="H20" s="2" t="n">
        <v>362</v>
      </c>
      <c r="I20" s="4" t="n">
        <f aca="false">F20/1000</f>
        <v>0.358</v>
      </c>
      <c r="J20" s="4" t="n">
        <f aca="false">G20/1000</f>
        <v>0.358</v>
      </c>
      <c r="K20" s="4" t="n">
        <f aca="false">H20/1000</f>
        <v>0.362</v>
      </c>
    </row>
    <row r="21" customFormat="false" ht="15" hidden="false" customHeight="false" outlineLevel="0" collapsed="false">
      <c r="A21" s="2" t="s">
        <v>31</v>
      </c>
      <c r="B21" s="2" t="n">
        <v>1</v>
      </c>
      <c r="C21" s="2" t="s">
        <v>30</v>
      </c>
      <c r="D21" s="2" t="s">
        <v>24</v>
      </c>
      <c r="E21" s="2" t="n">
        <v>200</v>
      </c>
      <c r="F21" s="2" t="n">
        <v>1000000</v>
      </c>
      <c r="G21" s="2" t="n">
        <v>6029408</v>
      </c>
      <c r="H21" s="2" t="n">
        <v>10994308</v>
      </c>
      <c r="I21" s="4" t="n">
        <f aca="false">F21/1000</f>
        <v>1000</v>
      </c>
      <c r="J21" s="4" t="n">
        <f aca="false">G21/1000</f>
        <v>6029.408</v>
      </c>
      <c r="K21" s="4" t="n">
        <f aca="false">H21/1000</f>
        <v>10994.308</v>
      </c>
    </row>
    <row r="22" customFormat="false" ht="15" hidden="false" customHeight="false" outlineLevel="0" collapsed="false">
      <c r="A22" s="2" t="s">
        <v>31</v>
      </c>
      <c r="B22" s="2" t="n">
        <v>1</v>
      </c>
      <c r="C22" s="2" t="s">
        <v>30</v>
      </c>
      <c r="D22" s="2" t="s">
        <v>26</v>
      </c>
      <c r="E22" s="2" t="n">
        <v>200</v>
      </c>
      <c r="F22" s="2" t="n">
        <v>1000000</v>
      </c>
      <c r="G22" s="2" t="n">
        <v>6029408</v>
      </c>
      <c r="H22" s="2" t="n">
        <v>10994308</v>
      </c>
      <c r="I22" s="4" t="n">
        <f aca="false">F22/1000</f>
        <v>1000</v>
      </c>
      <c r="J22" s="4" t="n">
        <f aca="false">G22/1000</f>
        <v>6029.408</v>
      </c>
      <c r="K22" s="4" t="n">
        <f aca="false">H22/1000</f>
        <v>10994.308</v>
      </c>
    </row>
    <row r="23" customFormat="false" ht="15" hidden="false" customHeight="false" outlineLevel="0" collapsed="false">
      <c r="A23" s="2" t="s">
        <v>31</v>
      </c>
      <c r="B23" s="2" t="n">
        <v>1</v>
      </c>
      <c r="C23" s="2" t="s">
        <v>30</v>
      </c>
      <c r="D23" s="2" t="s">
        <v>27</v>
      </c>
      <c r="E23" s="2" t="n">
        <v>200</v>
      </c>
      <c r="F23" s="2" t="n">
        <v>179</v>
      </c>
      <c r="G23" s="2" t="n">
        <v>179</v>
      </c>
      <c r="H23" s="2" t="n">
        <v>183</v>
      </c>
      <c r="I23" s="4" t="n">
        <f aca="false">F23/1000</f>
        <v>0.179</v>
      </c>
      <c r="J23" s="4" t="n">
        <f aca="false">G23/1000</f>
        <v>0.179</v>
      </c>
      <c r="K23" s="4" t="n">
        <f aca="false">H23/1000</f>
        <v>0.183</v>
      </c>
    </row>
    <row r="24" customFormat="false" ht="15" hidden="false" customHeight="false" outlineLevel="0" collapsed="false">
      <c r="A24" s="2" t="s">
        <v>31</v>
      </c>
      <c r="B24" s="2" t="n">
        <v>2</v>
      </c>
      <c r="C24" s="2" t="s">
        <v>30</v>
      </c>
      <c r="D24" s="2" t="s">
        <v>24</v>
      </c>
      <c r="E24" s="2" t="n">
        <v>200</v>
      </c>
      <c r="F24" s="2" t="n">
        <v>1000000</v>
      </c>
      <c r="G24" s="2" t="n">
        <v>6029408</v>
      </c>
      <c r="H24" s="2" t="n">
        <v>10994308</v>
      </c>
      <c r="I24" s="4" t="n">
        <f aca="false">F24/1000</f>
        <v>1000</v>
      </c>
      <c r="J24" s="4" t="n">
        <f aca="false">G24/1000</f>
        <v>6029.408</v>
      </c>
      <c r="K24" s="4" t="n">
        <f aca="false">H24/1000</f>
        <v>10994.308</v>
      </c>
    </row>
    <row r="25" customFormat="false" ht="15" hidden="false" customHeight="false" outlineLevel="0" collapsed="false">
      <c r="A25" s="2" t="s">
        <v>31</v>
      </c>
      <c r="B25" s="2" t="n">
        <v>2</v>
      </c>
      <c r="C25" s="2" t="s">
        <v>30</v>
      </c>
      <c r="D25" s="2" t="s">
        <v>26</v>
      </c>
      <c r="E25" s="2" t="n">
        <v>200</v>
      </c>
      <c r="F25" s="2" t="n">
        <v>1000000</v>
      </c>
      <c r="G25" s="2" t="n">
        <v>6029408</v>
      </c>
      <c r="H25" s="2" t="n">
        <v>10994308</v>
      </c>
      <c r="I25" s="4" t="n">
        <f aca="false">F25/1000</f>
        <v>1000</v>
      </c>
      <c r="J25" s="4" t="n">
        <f aca="false">G25/1000</f>
        <v>6029.408</v>
      </c>
      <c r="K25" s="4" t="n">
        <f aca="false">H25/1000</f>
        <v>10994.308</v>
      </c>
    </row>
    <row r="26" customFormat="false" ht="15" hidden="false" customHeight="false" outlineLevel="0" collapsed="false">
      <c r="A26" s="2" t="s">
        <v>31</v>
      </c>
      <c r="B26" s="2" t="n">
        <v>2</v>
      </c>
      <c r="C26" s="2" t="s">
        <v>30</v>
      </c>
      <c r="D26" s="2" t="s">
        <v>27</v>
      </c>
      <c r="E26" s="2" t="n">
        <v>200</v>
      </c>
      <c r="F26" s="2" t="n">
        <v>179</v>
      </c>
      <c r="G26" s="2" t="n">
        <v>179</v>
      </c>
      <c r="H26" s="2" t="n">
        <v>183</v>
      </c>
      <c r="I26" s="4" t="n">
        <f aca="false">F26/1000</f>
        <v>0.179</v>
      </c>
      <c r="J26" s="4" t="n">
        <f aca="false">G26/1000</f>
        <v>0.179</v>
      </c>
      <c r="K26" s="4" t="n">
        <f aca="false">H26/1000</f>
        <v>0.183</v>
      </c>
    </row>
    <row r="27" customFormat="false" ht="15" hidden="false" customHeight="false" outlineLevel="0" collapsed="false">
      <c r="A27" s="2" t="s">
        <v>31</v>
      </c>
      <c r="B27" s="2" t="n">
        <v>3</v>
      </c>
      <c r="C27" s="2" t="s">
        <v>30</v>
      </c>
      <c r="D27" s="2" t="s">
        <v>24</v>
      </c>
      <c r="E27" s="2" t="n">
        <v>200</v>
      </c>
      <c r="F27" s="2" t="n">
        <v>1000000</v>
      </c>
      <c r="G27" s="2" t="n">
        <v>6029408</v>
      </c>
      <c r="H27" s="2" t="n">
        <v>10994308</v>
      </c>
      <c r="I27" s="4" t="n">
        <f aca="false">F27/1000</f>
        <v>1000</v>
      </c>
      <c r="J27" s="4" t="n">
        <f aca="false">G27/1000</f>
        <v>6029.408</v>
      </c>
      <c r="K27" s="4" t="n">
        <f aca="false">H27/1000</f>
        <v>10994.308</v>
      </c>
    </row>
    <row r="28" customFormat="false" ht="15" hidden="false" customHeight="false" outlineLevel="0" collapsed="false">
      <c r="A28" s="2" t="s">
        <v>31</v>
      </c>
      <c r="B28" s="2" t="n">
        <v>3</v>
      </c>
      <c r="C28" s="2" t="s">
        <v>30</v>
      </c>
      <c r="D28" s="2" t="s">
        <v>26</v>
      </c>
      <c r="E28" s="2" t="n">
        <v>200</v>
      </c>
      <c r="F28" s="2" t="n">
        <v>1000000</v>
      </c>
      <c r="G28" s="2" t="n">
        <v>6029408</v>
      </c>
      <c r="H28" s="2" t="n">
        <v>10994308</v>
      </c>
      <c r="I28" s="4" t="n">
        <f aca="false">F28/1000</f>
        <v>1000</v>
      </c>
      <c r="J28" s="4" t="n">
        <f aca="false">G28/1000</f>
        <v>6029.408</v>
      </c>
      <c r="K28" s="4" t="n">
        <f aca="false">H28/1000</f>
        <v>10994.308</v>
      </c>
    </row>
    <row r="29" customFormat="false" ht="15" hidden="false" customHeight="false" outlineLevel="0" collapsed="false">
      <c r="A29" s="2" t="s">
        <v>31</v>
      </c>
      <c r="B29" s="2" t="n">
        <v>3</v>
      </c>
      <c r="C29" s="2" t="s">
        <v>30</v>
      </c>
      <c r="D29" s="2" t="s">
        <v>27</v>
      </c>
      <c r="E29" s="2" t="n">
        <v>200</v>
      </c>
      <c r="F29" s="2" t="n">
        <v>179</v>
      </c>
      <c r="G29" s="2" t="n">
        <v>179</v>
      </c>
      <c r="H29" s="2" t="n">
        <v>183</v>
      </c>
      <c r="I29" s="4" t="n">
        <f aca="false">F29/1000</f>
        <v>0.179</v>
      </c>
      <c r="J29" s="4" t="n">
        <f aca="false">G29/1000</f>
        <v>0.179</v>
      </c>
      <c r="K29" s="4" t="n">
        <f aca="false">H29/1000</f>
        <v>0.183</v>
      </c>
    </row>
    <row r="30" customFormat="false" ht="15" hidden="false" customHeight="false" outlineLevel="0" collapsed="false">
      <c r="A30" s="2" t="s">
        <v>32</v>
      </c>
      <c r="B30" s="2" t="n">
        <v>1</v>
      </c>
      <c r="C30" s="2" t="s">
        <v>30</v>
      </c>
      <c r="D30" s="2" t="s">
        <v>24</v>
      </c>
      <c r="E30" s="2" t="n">
        <v>200</v>
      </c>
      <c r="F30" s="2" t="n">
        <v>8983858</v>
      </c>
      <c r="G30" s="2" t="n">
        <v>8999920</v>
      </c>
      <c r="H30" s="2" t="n">
        <v>9000008</v>
      </c>
      <c r="I30" s="4" t="n">
        <f aca="false">F30/1000</f>
        <v>8983.858</v>
      </c>
      <c r="J30" s="4" t="n">
        <f aca="false">G30/1000</f>
        <v>8999.92</v>
      </c>
      <c r="K30" s="4" t="n">
        <f aca="false">H30/1000</f>
        <v>9000.008</v>
      </c>
    </row>
    <row r="31" customFormat="false" ht="15" hidden="false" customHeight="false" outlineLevel="0" collapsed="false">
      <c r="A31" s="2" t="s">
        <v>32</v>
      </c>
      <c r="B31" s="2" t="n">
        <v>1</v>
      </c>
      <c r="C31" s="2" t="s">
        <v>30</v>
      </c>
      <c r="D31" s="2" t="s">
        <v>26</v>
      </c>
      <c r="E31" s="2" t="n">
        <v>200</v>
      </c>
      <c r="F31" s="2" t="n">
        <v>8983858</v>
      </c>
      <c r="G31" s="2" t="n">
        <v>8999920</v>
      </c>
      <c r="H31" s="2" t="n">
        <v>9000008</v>
      </c>
      <c r="I31" s="4" t="n">
        <f aca="false">F31/1000</f>
        <v>8983.858</v>
      </c>
      <c r="J31" s="4" t="n">
        <f aca="false">G31/1000</f>
        <v>8999.92</v>
      </c>
      <c r="K31" s="4" t="n">
        <f aca="false">H31/1000</f>
        <v>9000.008</v>
      </c>
    </row>
    <row r="32" customFormat="false" ht="15" hidden="false" customHeight="false" outlineLevel="0" collapsed="false">
      <c r="A32" s="2" t="s">
        <v>32</v>
      </c>
      <c r="B32" s="2" t="n">
        <v>1</v>
      </c>
      <c r="C32" s="2" t="s">
        <v>30</v>
      </c>
      <c r="D32" s="2" t="s">
        <v>27</v>
      </c>
      <c r="E32" s="2" t="n">
        <v>200</v>
      </c>
      <c r="F32" s="2" t="n">
        <v>179</v>
      </c>
      <c r="G32" s="2" t="n">
        <v>179</v>
      </c>
      <c r="H32" s="2" t="n">
        <v>183</v>
      </c>
      <c r="I32" s="4" t="n">
        <f aca="false">F32/1000</f>
        <v>0.179</v>
      </c>
      <c r="J32" s="4" t="n">
        <f aca="false">G32/1000</f>
        <v>0.179</v>
      </c>
      <c r="K32" s="4" t="n">
        <f aca="false">H32/1000</f>
        <v>0.183</v>
      </c>
    </row>
    <row r="33" customFormat="false" ht="15" hidden="false" customHeight="false" outlineLevel="0" collapsed="false">
      <c r="A33" s="2" t="s">
        <v>32</v>
      </c>
      <c r="B33" s="2" t="n">
        <v>2</v>
      </c>
      <c r="C33" s="2" t="s">
        <v>30</v>
      </c>
      <c r="D33" s="2" t="s">
        <v>24</v>
      </c>
      <c r="E33" s="2" t="n">
        <v>200</v>
      </c>
      <c r="F33" s="2" t="n">
        <v>8983858</v>
      </c>
      <c r="G33" s="2" t="n">
        <v>8999920</v>
      </c>
      <c r="H33" s="2" t="n">
        <v>9000008</v>
      </c>
      <c r="I33" s="4" t="n">
        <f aca="false">F33/1000</f>
        <v>8983.858</v>
      </c>
      <c r="J33" s="4" t="n">
        <f aca="false">G33/1000</f>
        <v>8999.92</v>
      </c>
      <c r="K33" s="4" t="n">
        <f aca="false">H33/1000</f>
        <v>9000.008</v>
      </c>
    </row>
    <row r="34" customFormat="false" ht="15" hidden="false" customHeight="false" outlineLevel="0" collapsed="false">
      <c r="A34" s="2" t="s">
        <v>32</v>
      </c>
      <c r="B34" s="2" t="n">
        <v>2</v>
      </c>
      <c r="C34" s="2" t="s">
        <v>30</v>
      </c>
      <c r="D34" s="2" t="s">
        <v>26</v>
      </c>
      <c r="E34" s="2" t="n">
        <v>200</v>
      </c>
      <c r="F34" s="2" t="n">
        <v>8983858</v>
      </c>
      <c r="G34" s="2" t="n">
        <v>8999920</v>
      </c>
      <c r="H34" s="2" t="n">
        <v>9000008</v>
      </c>
      <c r="I34" s="4" t="n">
        <f aca="false">F34/1000</f>
        <v>8983.858</v>
      </c>
      <c r="J34" s="4" t="n">
        <f aca="false">G34/1000</f>
        <v>8999.92</v>
      </c>
      <c r="K34" s="4" t="n">
        <f aca="false">H34/1000</f>
        <v>9000.008</v>
      </c>
    </row>
    <row r="35" customFormat="false" ht="15" hidden="false" customHeight="false" outlineLevel="0" collapsed="false">
      <c r="A35" s="2" t="s">
        <v>32</v>
      </c>
      <c r="B35" s="2" t="n">
        <v>2</v>
      </c>
      <c r="C35" s="2" t="s">
        <v>30</v>
      </c>
      <c r="D35" s="2" t="s">
        <v>27</v>
      </c>
      <c r="E35" s="2" t="n">
        <v>200</v>
      </c>
      <c r="F35" s="2" t="n">
        <v>179</v>
      </c>
      <c r="G35" s="2" t="n">
        <v>179</v>
      </c>
      <c r="H35" s="2" t="n">
        <v>183</v>
      </c>
      <c r="I35" s="4" t="n">
        <f aca="false">F35/1000</f>
        <v>0.179</v>
      </c>
      <c r="J35" s="4" t="n">
        <f aca="false">G35/1000</f>
        <v>0.179</v>
      </c>
      <c r="K35" s="4" t="n">
        <f aca="false">H35/1000</f>
        <v>0.183</v>
      </c>
    </row>
    <row r="36" customFormat="false" ht="15" hidden="false" customHeight="false" outlineLevel="0" collapsed="false">
      <c r="A36" s="2" t="s">
        <v>32</v>
      </c>
      <c r="B36" s="2" t="n">
        <v>3</v>
      </c>
      <c r="C36" s="2" t="s">
        <v>30</v>
      </c>
      <c r="D36" s="2" t="s">
        <v>24</v>
      </c>
      <c r="E36" s="2" t="n">
        <v>200</v>
      </c>
      <c r="F36" s="2" t="n">
        <v>8983858</v>
      </c>
      <c r="G36" s="2" t="n">
        <v>8999920</v>
      </c>
      <c r="H36" s="2" t="n">
        <v>9000008</v>
      </c>
      <c r="I36" s="4" t="n">
        <f aca="false">F36/1000</f>
        <v>8983.858</v>
      </c>
      <c r="J36" s="4" t="n">
        <f aca="false">G36/1000</f>
        <v>8999.92</v>
      </c>
      <c r="K36" s="4" t="n">
        <f aca="false">H36/1000</f>
        <v>9000.008</v>
      </c>
    </row>
    <row r="37" customFormat="false" ht="15" hidden="false" customHeight="false" outlineLevel="0" collapsed="false">
      <c r="A37" s="2" t="s">
        <v>32</v>
      </c>
      <c r="B37" s="2" t="n">
        <v>3</v>
      </c>
      <c r="C37" s="2" t="s">
        <v>30</v>
      </c>
      <c r="D37" s="2" t="s">
        <v>26</v>
      </c>
      <c r="E37" s="2" t="n">
        <v>200</v>
      </c>
      <c r="F37" s="2" t="n">
        <v>8983858</v>
      </c>
      <c r="G37" s="2" t="n">
        <v>8999920</v>
      </c>
      <c r="H37" s="2" t="n">
        <v>9000008</v>
      </c>
      <c r="I37" s="4" t="n">
        <f aca="false">F37/1000</f>
        <v>8983.858</v>
      </c>
      <c r="J37" s="4" t="n">
        <f aca="false">G37/1000</f>
        <v>8999.92</v>
      </c>
      <c r="K37" s="4" t="n">
        <f aca="false">H37/1000</f>
        <v>9000.008</v>
      </c>
    </row>
    <row r="38" customFormat="false" ht="15" hidden="false" customHeight="false" outlineLevel="0" collapsed="false">
      <c r="A38" s="2" t="s">
        <v>32</v>
      </c>
      <c r="B38" s="2" t="n">
        <v>3</v>
      </c>
      <c r="C38" s="2" t="s">
        <v>30</v>
      </c>
      <c r="D38" s="2" t="s">
        <v>27</v>
      </c>
      <c r="E38" s="2" t="n">
        <v>200</v>
      </c>
      <c r="F38" s="2" t="n">
        <v>179</v>
      </c>
      <c r="G38" s="2" t="n">
        <v>179</v>
      </c>
      <c r="H38" s="2" t="n">
        <v>183</v>
      </c>
      <c r="I38" s="4" t="n">
        <f aca="false">F38/1000</f>
        <v>0.179</v>
      </c>
      <c r="J38" s="4" t="n">
        <f aca="false">G38/1000</f>
        <v>0.179</v>
      </c>
      <c r="K38" s="4" t="n">
        <f aca="false">H38/1000</f>
        <v>0.183</v>
      </c>
    </row>
    <row r="39" customFormat="false" ht="15" hidden="false" customHeight="false" outlineLevel="0" collapsed="false">
      <c r="A39" s="2" t="s">
        <v>33</v>
      </c>
      <c r="B39" s="2" t="n">
        <v>1</v>
      </c>
      <c r="C39" s="2" t="s">
        <v>34</v>
      </c>
      <c r="D39" s="2" t="s">
        <v>24</v>
      </c>
      <c r="E39" s="2" t="n">
        <v>200</v>
      </c>
      <c r="F39" s="2" t="n">
        <v>2204</v>
      </c>
      <c r="G39" s="2" t="n">
        <v>2204</v>
      </c>
      <c r="H39" s="2" t="n">
        <v>2208</v>
      </c>
      <c r="I39" s="4" t="n">
        <f aca="false">F39/1000</f>
        <v>2.204</v>
      </c>
      <c r="J39" s="4" t="n">
        <f aca="false">G39/1000</f>
        <v>2.204</v>
      </c>
      <c r="K39" s="4" t="n">
        <f aca="false">H39/1000</f>
        <v>2.208</v>
      </c>
    </row>
    <row r="40" customFormat="false" ht="15" hidden="false" customHeight="false" outlineLevel="0" collapsed="false">
      <c r="A40" s="2" t="s">
        <v>33</v>
      </c>
      <c r="B40" s="2" t="n">
        <v>1</v>
      </c>
      <c r="C40" s="2" t="s">
        <v>34</v>
      </c>
      <c r="D40" s="2" t="s">
        <v>25</v>
      </c>
      <c r="E40" s="2" t="n">
        <v>200</v>
      </c>
      <c r="F40" s="2" t="n">
        <v>7862</v>
      </c>
      <c r="G40" s="2" t="n">
        <v>7862</v>
      </c>
      <c r="H40" s="2" t="n">
        <v>7879</v>
      </c>
      <c r="I40" s="4" t="n">
        <f aca="false">F40/1000</f>
        <v>7.862</v>
      </c>
      <c r="J40" s="4" t="n">
        <f aca="false">G40/1000</f>
        <v>7.862</v>
      </c>
      <c r="K40" s="4" t="n">
        <f aca="false">H40/1000</f>
        <v>7.879</v>
      </c>
    </row>
    <row r="41" customFormat="false" ht="15" hidden="false" customHeight="false" outlineLevel="0" collapsed="false">
      <c r="A41" s="2" t="s">
        <v>33</v>
      </c>
      <c r="B41" s="2" t="n">
        <v>1</v>
      </c>
      <c r="C41" s="2" t="s">
        <v>34</v>
      </c>
      <c r="D41" s="2" t="s">
        <v>26</v>
      </c>
      <c r="E41" s="2" t="n">
        <v>200</v>
      </c>
      <c r="F41" s="2" t="n">
        <v>10070</v>
      </c>
      <c r="G41" s="2" t="n">
        <v>10070</v>
      </c>
      <c r="H41" s="2" t="n">
        <v>10087</v>
      </c>
      <c r="I41" s="4" t="n">
        <f aca="false">F41/1000</f>
        <v>10.07</v>
      </c>
      <c r="J41" s="4" t="n">
        <f aca="false">G41/1000</f>
        <v>10.07</v>
      </c>
      <c r="K41" s="4" t="n">
        <f aca="false">H41/1000</f>
        <v>10.087</v>
      </c>
    </row>
    <row r="42" customFormat="false" ht="15" hidden="false" customHeight="false" outlineLevel="0" collapsed="false">
      <c r="A42" s="2" t="s">
        <v>33</v>
      </c>
      <c r="B42" s="2" t="n">
        <v>1</v>
      </c>
      <c r="C42" s="2" t="s">
        <v>34</v>
      </c>
      <c r="D42" s="2" t="s">
        <v>27</v>
      </c>
      <c r="E42" s="2" t="n">
        <v>200</v>
      </c>
      <c r="F42" s="2" t="n">
        <v>358</v>
      </c>
      <c r="G42" s="2" t="n">
        <v>358</v>
      </c>
      <c r="H42" s="2" t="n">
        <v>362</v>
      </c>
      <c r="I42" s="4" t="n">
        <f aca="false">F42/1000</f>
        <v>0.358</v>
      </c>
      <c r="J42" s="4" t="n">
        <f aca="false">G42/1000</f>
        <v>0.358</v>
      </c>
      <c r="K42" s="4" t="n">
        <f aca="false">H42/1000</f>
        <v>0.362</v>
      </c>
    </row>
    <row r="43" customFormat="false" ht="15" hidden="false" customHeight="false" outlineLevel="0" collapsed="false">
      <c r="A43" s="2" t="s">
        <v>35</v>
      </c>
      <c r="B43" s="2" t="n">
        <v>1</v>
      </c>
      <c r="C43" s="2" t="s">
        <v>34</v>
      </c>
      <c r="D43" s="2" t="s">
        <v>24</v>
      </c>
      <c r="E43" s="2" t="n">
        <v>200</v>
      </c>
      <c r="F43" s="2" t="n">
        <v>1100</v>
      </c>
      <c r="G43" s="2" t="n">
        <v>1100</v>
      </c>
      <c r="H43" s="2" t="n">
        <v>1104</v>
      </c>
      <c r="I43" s="4" t="n">
        <f aca="false">F43/1000</f>
        <v>1.1</v>
      </c>
      <c r="J43" s="4" t="n">
        <f aca="false">G43/1000</f>
        <v>1.1</v>
      </c>
      <c r="K43" s="4" t="n">
        <f aca="false">H43/1000</f>
        <v>1.104</v>
      </c>
    </row>
    <row r="44" customFormat="false" ht="15" hidden="false" customHeight="false" outlineLevel="0" collapsed="false">
      <c r="A44" s="2" t="s">
        <v>35</v>
      </c>
      <c r="B44" s="2" t="n">
        <v>1</v>
      </c>
      <c r="C44" s="2" t="s">
        <v>34</v>
      </c>
      <c r="D44" s="2" t="s">
        <v>25</v>
      </c>
      <c r="E44" s="2" t="n">
        <v>200</v>
      </c>
      <c r="F44" s="2" t="n">
        <v>3929</v>
      </c>
      <c r="G44" s="2" t="n">
        <v>3929</v>
      </c>
      <c r="H44" s="2" t="n">
        <v>3937</v>
      </c>
      <c r="I44" s="4" t="n">
        <f aca="false">F44/1000</f>
        <v>3.929</v>
      </c>
      <c r="J44" s="4" t="n">
        <f aca="false">G44/1000</f>
        <v>3.929</v>
      </c>
      <c r="K44" s="4" t="n">
        <f aca="false">H44/1000</f>
        <v>3.937</v>
      </c>
    </row>
    <row r="45" customFormat="false" ht="15" hidden="false" customHeight="false" outlineLevel="0" collapsed="false">
      <c r="A45" s="2" t="s">
        <v>35</v>
      </c>
      <c r="B45" s="2" t="n">
        <v>1</v>
      </c>
      <c r="C45" s="2" t="s">
        <v>34</v>
      </c>
      <c r="D45" s="2" t="s">
        <v>26</v>
      </c>
      <c r="E45" s="2" t="n">
        <v>200</v>
      </c>
      <c r="F45" s="2" t="n">
        <v>5033</v>
      </c>
      <c r="G45" s="2" t="n">
        <v>5033</v>
      </c>
      <c r="H45" s="2" t="n">
        <v>5041</v>
      </c>
      <c r="I45" s="4" t="n">
        <f aca="false">F45/1000</f>
        <v>5.033</v>
      </c>
      <c r="J45" s="4" t="n">
        <f aca="false">G45/1000</f>
        <v>5.033</v>
      </c>
      <c r="K45" s="4" t="n">
        <f aca="false">H45/1000</f>
        <v>5.041</v>
      </c>
    </row>
    <row r="46" customFormat="false" ht="15" hidden="false" customHeight="false" outlineLevel="0" collapsed="false">
      <c r="A46" s="2" t="s">
        <v>35</v>
      </c>
      <c r="B46" s="2" t="n">
        <v>1</v>
      </c>
      <c r="C46" s="2" t="s">
        <v>34</v>
      </c>
      <c r="D46" s="2" t="s">
        <v>27</v>
      </c>
      <c r="E46" s="2" t="n">
        <v>200</v>
      </c>
      <c r="F46" s="2" t="n">
        <v>179</v>
      </c>
      <c r="G46" s="2" t="n">
        <v>179</v>
      </c>
      <c r="H46" s="2" t="n">
        <v>183</v>
      </c>
      <c r="I46" s="4" t="n">
        <f aca="false">F46/1000</f>
        <v>0.179</v>
      </c>
      <c r="J46" s="4" t="n">
        <f aca="false">G46/1000</f>
        <v>0.179</v>
      </c>
      <c r="K46" s="4" t="n">
        <f aca="false">H46/1000</f>
        <v>0.183</v>
      </c>
    </row>
    <row r="47" customFormat="false" ht="15" hidden="false" customHeight="false" outlineLevel="0" collapsed="false">
      <c r="A47" s="2" t="s">
        <v>35</v>
      </c>
      <c r="B47" s="2" t="n">
        <v>2</v>
      </c>
      <c r="C47" s="2" t="s">
        <v>34</v>
      </c>
      <c r="D47" s="2" t="s">
        <v>24</v>
      </c>
      <c r="E47" s="2" t="n">
        <v>200</v>
      </c>
      <c r="F47" s="2" t="n">
        <v>1100</v>
      </c>
      <c r="G47" s="2" t="n">
        <v>1100</v>
      </c>
      <c r="H47" s="2" t="n">
        <v>1104</v>
      </c>
      <c r="I47" s="4" t="n">
        <f aca="false">F47/1000</f>
        <v>1.1</v>
      </c>
      <c r="J47" s="4" t="n">
        <f aca="false">G47/1000</f>
        <v>1.1</v>
      </c>
      <c r="K47" s="4" t="n">
        <f aca="false">H47/1000</f>
        <v>1.104</v>
      </c>
    </row>
    <row r="48" customFormat="false" ht="15" hidden="false" customHeight="false" outlineLevel="0" collapsed="false">
      <c r="A48" s="2" t="s">
        <v>35</v>
      </c>
      <c r="B48" s="2" t="n">
        <v>2</v>
      </c>
      <c r="C48" s="2" t="s">
        <v>34</v>
      </c>
      <c r="D48" s="2" t="s">
        <v>25</v>
      </c>
      <c r="E48" s="2" t="n">
        <v>200</v>
      </c>
      <c r="F48" s="2" t="n">
        <v>3929</v>
      </c>
      <c r="G48" s="2" t="n">
        <v>3929</v>
      </c>
      <c r="H48" s="2" t="n">
        <v>3937</v>
      </c>
      <c r="I48" s="4" t="n">
        <f aca="false">F48/1000</f>
        <v>3.929</v>
      </c>
      <c r="J48" s="4" t="n">
        <f aca="false">G48/1000</f>
        <v>3.929</v>
      </c>
      <c r="K48" s="4" t="n">
        <f aca="false">H48/1000</f>
        <v>3.937</v>
      </c>
    </row>
    <row r="49" customFormat="false" ht="15" hidden="false" customHeight="false" outlineLevel="0" collapsed="false">
      <c r="A49" s="2" t="s">
        <v>35</v>
      </c>
      <c r="B49" s="2" t="n">
        <v>2</v>
      </c>
      <c r="C49" s="2" t="s">
        <v>34</v>
      </c>
      <c r="D49" s="2" t="s">
        <v>26</v>
      </c>
      <c r="E49" s="2" t="n">
        <v>200</v>
      </c>
      <c r="F49" s="2" t="n">
        <v>5033</v>
      </c>
      <c r="G49" s="2" t="n">
        <v>5033</v>
      </c>
      <c r="H49" s="2" t="n">
        <v>5041</v>
      </c>
      <c r="I49" s="4" t="n">
        <f aca="false">F49/1000</f>
        <v>5.033</v>
      </c>
      <c r="J49" s="4" t="n">
        <f aca="false">G49/1000</f>
        <v>5.033</v>
      </c>
      <c r="K49" s="4" t="n">
        <f aca="false">H49/1000</f>
        <v>5.041</v>
      </c>
    </row>
    <row r="50" customFormat="false" ht="15" hidden="false" customHeight="false" outlineLevel="0" collapsed="false">
      <c r="A50" s="2" t="s">
        <v>35</v>
      </c>
      <c r="B50" s="2" t="n">
        <v>2</v>
      </c>
      <c r="C50" s="2" t="s">
        <v>34</v>
      </c>
      <c r="D50" s="2" t="s">
        <v>27</v>
      </c>
      <c r="E50" s="2" t="n">
        <v>200</v>
      </c>
      <c r="F50" s="2" t="n">
        <v>179</v>
      </c>
      <c r="G50" s="2" t="n">
        <v>179</v>
      </c>
      <c r="H50" s="2" t="n">
        <v>183</v>
      </c>
      <c r="I50" s="4" t="n">
        <f aca="false">F50/1000</f>
        <v>0.179</v>
      </c>
      <c r="J50" s="4" t="n">
        <f aca="false">G50/1000</f>
        <v>0.179</v>
      </c>
      <c r="K50" s="4" t="n">
        <f aca="false">H50/1000</f>
        <v>0.183</v>
      </c>
    </row>
    <row r="51" customFormat="false" ht="15" hidden="false" customHeight="false" outlineLevel="0" collapsed="false">
      <c r="A51" s="2" t="s">
        <v>35</v>
      </c>
      <c r="B51" s="2" t="n">
        <v>3</v>
      </c>
      <c r="C51" s="2" t="s">
        <v>34</v>
      </c>
      <c r="D51" s="2" t="s">
        <v>24</v>
      </c>
      <c r="E51" s="2" t="n">
        <v>200</v>
      </c>
      <c r="F51" s="2" t="n">
        <v>1100</v>
      </c>
      <c r="G51" s="2" t="n">
        <v>1100</v>
      </c>
      <c r="H51" s="2" t="n">
        <v>1104</v>
      </c>
      <c r="I51" s="4" t="n">
        <f aca="false">F51/1000</f>
        <v>1.1</v>
      </c>
      <c r="J51" s="4" t="n">
        <f aca="false">G51/1000</f>
        <v>1.1</v>
      </c>
      <c r="K51" s="4" t="n">
        <f aca="false">H51/1000</f>
        <v>1.104</v>
      </c>
    </row>
    <row r="52" customFormat="false" ht="15" hidden="false" customHeight="false" outlineLevel="0" collapsed="false">
      <c r="A52" s="2" t="s">
        <v>35</v>
      </c>
      <c r="B52" s="2" t="n">
        <v>3</v>
      </c>
      <c r="C52" s="2" t="s">
        <v>34</v>
      </c>
      <c r="D52" s="2" t="s">
        <v>25</v>
      </c>
      <c r="E52" s="2" t="n">
        <v>200</v>
      </c>
      <c r="F52" s="2" t="n">
        <v>3929</v>
      </c>
      <c r="G52" s="2" t="n">
        <v>3929</v>
      </c>
      <c r="H52" s="2" t="n">
        <v>3937</v>
      </c>
      <c r="I52" s="4" t="n">
        <f aca="false">F52/1000</f>
        <v>3.929</v>
      </c>
      <c r="J52" s="4" t="n">
        <f aca="false">G52/1000</f>
        <v>3.929</v>
      </c>
      <c r="K52" s="4" t="n">
        <f aca="false">H52/1000</f>
        <v>3.937</v>
      </c>
    </row>
    <row r="53" customFormat="false" ht="15" hidden="false" customHeight="false" outlineLevel="0" collapsed="false">
      <c r="A53" s="2" t="s">
        <v>35</v>
      </c>
      <c r="B53" s="2" t="n">
        <v>3</v>
      </c>
      <c r="C53" s="2" t="s">
        <v>34</v>
      </c>
      <c r="D53" s="2" t="s">
        <v>26</v>
      </c>
      <c r="E53" s="2" t="n">
        <v>200</v>
      </c>
      <c r="F53" s="2" t="n">
        <v>5033</v>
      </c>
      <c r="G53" s="2" t="n">
        <v>5033</v>
      </c>
      <c r="H53" s="2" t="n">
        <v>5041</v>
      </c>
      <c r="I53" s="4" t="n">
        <f aca="false">F53/1000</f>
        <v>5.033</v>
      </c>
      <c r="J53" s="4" t="n">
        <f aca="false">G53/1000</f>
        <v>5.033</v>
      </c>
      <c r="K53" s="4" t="n">
        <f aca="false">H53/1000</f>
        <v>5.041</v>
      </c>
    </row>
    <row r="54" customFormat="false" ht="15" hidden="false" customHeight="false" outlineLevel="0" collapsed="false">
      <c r="A54" s="2" t="s">
        <v>35</v>
      </c>
      <c r="B54" s="2" t="n">
        <v>3</v>
      </c>
      <c r="C54" s="2" t="s">
        <v>34</v>
      </c>
      <c r="D54" s="2" t="s">
        <v>27</v>
      </c>
      <c r="E54" s="2" t="n">
        <v>200</v>
      </c>
      <c r="F54" s="2" t="n">
        <v>179</v>
      </c>
      <c r="G54" s="2" t="n">
        <v>179</v>
      </c>
      <c r="H54" s="2" t="n">
        <v>183</v>
      </c>
      <c r="I54" s="4" t="n">
        <f aca="false">F54/1000</f>
        <v>0.179</v>
      </c>
      <c r="J54" s="4" t="n">
        <f aca="false">G54/1000</f>
        <v>0.179</v>
      </c>
      <c r="K54" s="4" t="n">
        <f aca="false">H54/1000</f>
        <v>0.183</v>
      </c>
    </row>
    <row r="55" customFormat="false" ht="15" hidden="false" customHeight="false" outlineLevel="0" collapsed="false">
      <c r="A55" s="2" t="s">
        <v>36</v>
      </c>
      <c r="B55" s="2" t="n">
        <v>1</v>
      </c>
      <c r="C55" s="2" t="s">
        <v>30</v>
      </c>
      <c r="D55" s="2" t="s">
        <v>24</v>
      </c>
      <c r="E55" s="2" t="n">
        <v>9</v>
      </c>
      <c r="F55" s="2" t="n">
        <v>1000004</v>
      </c>
      <c r="G55" s="2" t="n">
        <v>4442650</v>
      </c>
      <c r="H55" s="2" t="n">
        <v>19983854</v>
      </c>
      <c r="I55" s="4" t="n">
        <f aca="false">F55/1000</f>
        <v>1000.004</v>
      </c>
      <c r="J55" s="4" t="n">
        <f aca="false">G55/1000</f>
        <v>4442.65</v>
      </c>
      <c r="K55" s="4" t="n">
        <f aca="false">H55/1000</f>
        <v>19983.854</v>
      </c>
    </row>
    <row r="56" customFormat="false" ht="15" hidden="false" customHeight="false" outlineLevel="0" collapsed="false">
      <c r="A56" s="2" t="s">
        <v>36</v>
      </c>
      <c r="B56" s="2" t="n">
        <v>1</v>
      </c>
      <c r="C56" s="2" t="s">
        <v>30</v>
      </c>
      <c r="D56" s="2" t="s">
        <v>26</v>
      </c>
      <c r="E56" s="2" t="n">
        <v>9</v>
      </c>
      <c r="F56" s="2" t="n">
        <v>1000004</v>
      </c>
      <c r="G56" s="2" t="n">
        <v>4442650</v>
      </c>
      <c r="H56" s="2" t="n">
        <v>19983854</v>
      </c>
      <c r="I56" s="4" t="n">
        <f aca="false">F56/1000</f>
        <v>1000.004</v>
      </c>
      <c r="J56" s="4" t="n">
        <f aca="false">G56/1000</f>
        <v>4442.65</v>
      </c>
      <c r="K56" s="4" t="n">
        <f aca="false">H56/1000</f>
        <v>19983.854</v>
      </c>
    </row>
    <row r="57" customFormat="false" ht="15" hidden="false" customHeight="false" outlineLevel="0" collapsed="false">
      <c r="A57" s="2" t="s">
        <v>36</v>
      </c>
      <c r="B57" s="2" t="n">
        <v>1</v>
      </c>
      <c r="C57" s="2" t="s">
        <v>30</v>
      </c>
      <c r="D57" s="2" t="s">
        <v>27</v>
      </c>
      <c r="E57" s="2" t="n">
        <v>9</v>
      </c>
      <c r="F57" s="2" t="n">
        <v>179</v>
      </c>
      <c r="G57" s="2" t="n">
        <v>179</v>
      </c>
      <c r="H57" s="2" t="n">
        <v>183</v>
      </c>
      <c r="I57" s="4" t="n">
        <f aca="false">F57/1000</f>
        <v>0.179</v>
      </c>
      <c r="J57" s="4" t="n">
        <f aca="false">G57/1000</f>
        <v>0.179</v>
      </c>
      <c r="K57" s="4" t="n">
        <f aca="false">H57/1000</f>
        <v>0.183</v>
      </c>
    </row>
    <row r="58" customFormat="false" ht="15" hidden="false" customHeight="false" outlineLevel="0" collapsed="false">
      <c r="A58" s="2" t="s">
        <v>36</v>
      </c>
      <c r="B58" s="2" t="n">
        <v>2</v>
      </c>
      <c r="C58" s="2" t="s">
        <v>30</v>
      </c>
      <c r="D58" s="2" t="s">
        <v>24</v>
      </c>
      <c r="E58" s="2" t="n">
        <v>9</v>
      </c>
      <c r="F58" s="2" t="n">
        <v>1000004</v>
      </c>
      <c r="G58" s="2" t="n">
        <v>4442650</v>
      </c>
      <c r="H58" s="2" t="n">
        <v>19983854</v>
      </c>
      <c r="I58" s="4" t="n">
        <f aca="false">F58/1000</f>
        <v>1000.004</v>
      </c>
      <c r="J58" s="4" t="n">
        <f aca="false">G58/1000</f>
        <v>4442.65</v>
      </c>
      <c r="K58" s="4" t="n">
        <f aca="false">H58/1000</f>
        <v>19983.854</v>
      </c>
    </row>
    <row r="59" customFormat="false" ht="15" hidden="false" customHeight="false" outlineLevel="0" collapsed="false">
      <c r="A59" s="2" t="s">
        <v>36</v>
      </c>
      <c r="B59" s="2" t="n">
        <v>2</v>
      </c>
      <c r="C59" s="2" t="s">
        <v>30</v>
      </c>
      <c r="D59" s="2" t="s">
        <v>26</v>
      </c>
      <c r="E59" s="2" t="n">
        <v>9</v>
      </c>
      <c r="F59" s="2" t="n">
        <v>1000004</v>
      </c>
      <c r="G59" s="2" t="n">
        <v>4442650</v>
      </c>
      <c r="H59" s="2" t="n">
        <v>19983854</v>
      </c>
      <c r="I59" s="4" t="n">
        <f aca="false">F59/1000</f>
        <v>1000.004</v>
      </c>
      <c r="J59" s="4" t="n">
        <f aca="false">G59/1000</f>
        <v>4442.65</v>
      </c>
      <c r="K59" s="4" t="n">
        <f aca="false">H59/1000</f>
        <v>19983.854</v>
      </c>
    </row>
    <row r="60" customFormat="false" ht="15" hidden="false" customHeight="false" outlineLevel="0" collapsed="false">
      <c r="A60" s="2" t="s">
        <v>36</v>
      </c>
      <c r="B60" s="2" t="n">
        <v>2</v>
      </c>
      <c r="C60" s="2" t="s">
        <v>30</v>
      </c>
      <c r="D60" s="2" t="s">
        <v>27</v>
      </c>
      <c r="E60" s="2" t="n">
        <v>9</v>
      </c>
      <c r="F60" s="2" t="n">
        <v>179</v>
      </c>
      <c r="G60" s="2" t="n">
        <v>179</v>
      </c>
      <c r="H60" s="2" t="n">
        <v>183</v>
      </c>
      <c r="I60" s="4" t="n">
        <f aca="false">F60/1000</f>
        <v>0.179</v>
      </c>
      <c r="J60" s="4" t="n">
        <f aca="false">G60/1000</f>
        <v>0.179</v>
      </c>
      <c r="K60" s="4" t="n">
        <f aca="false">H60/1000</f>
        <v>0.183</v>
      </c>
    </row>
    <row r="61" customFormat="false" ht="15" hidden="false" customHeight="false" outlineLevel="0" collapsed="false">
      <c r="A61" s="2" t="s">
        <v>36</v>
      </c>
      <c r="B61" s="2" t="n">
        <v>3</v>
      </c>
      <c r="C61" s="2" t="s">
        <v>30</v>
      </c>
      <c r="D61" s="2" t="s">
        <v>24</v>
      </c>
      <c r="E61" s="2" t="n">
        <v>9</v>
      </c>
      <c r="F61" s="2" t="n">
        <v>1000004</v>
      </c>
      <c r="G61" s="2" t="n">
        <v>4442650</v>
      </c>
      <c r="H61" s="2" t="n">
        <v>19983854</v>
      </c>
      <c r="I61" s="4" t="n">
        <f aca="false">F61/1000</f>
        <v>1000.004</v>
      </c>
      <c r="J61" s="4" t="n">
        <f aca="false">G61/1000</f>
        <v>4442.65</v>
      </c>
      <c r="K61" s="4" t="n">
        <f aca="false">H61/1000</f>
        <v>19983.854</v>
      </c>
    </row>
    <row r="62" customFormat="false" ht="15" hidden="false" customHeight="false" outlineLevel="0" collapsed="false">
      <c r="A62" s="2" t="s">
        <v>36</v>
      </c>
      <c r="B62" s="2" t="n">
        <v>3</v>
      </c>
      <c r="C62" s="2" t="s">
        <v>30</v>
      </c>
      <c r="D62" s="2" t="s">
        <v>26</v>
      </c>
      <c r="E62" s="2" t="n">
        <v>9</v>
      </c>
      <c r="F62" s="2" t="n">
        <v>1000004</v>
      </c>
      <c r="G62" s="2" t="n">
        <v>4442650</v>
      </c>
      <c r="H62" s="2" t="n">
        <v>19983854</v>
      </c>
      <c r="I62" s="4" t="n">
        <f aca="false">F62/1000</f>
        <v>1000.004</v>
      </c>
      <c r="J62" s="4" t="n">
        <f aca="false">G62/1000</f>
        <v>4442.65</v>
      </c>
      <c r="K62" s="4" t="n">
        <f aca="false">H62/1000</f>
        <v>19983.854</v>
      </c>
    </row>
    <row r="63" customFormat="false" ht="15" hidden="false" customHeight="false" outlineLevel="0" collapsed="false">
      <c r="A63" s="2" t="s">
        <v>36</v>
      </c>
      <c r="B63" s="2" t="n">
        <v>3</v>
      </c>
      <c r="C63" s="2" t="s">
        <v>30</v>
      </c>
      <c r="D63" s="2" t="s">
        <v>27</v>
      </c>
      <c r="E63" s="2" t="n">
        <v>9</v>
      </c>
      <c r="F63" s="2" t="n">
        <v>179</v>
      </c>
      <c r="G63" s="2" t="n">
        <v>179</v>
      </c>
      <c r="H63" s="2" t="n">
        <v>183</v>
      </c>
      <c r="I63" s="4" t="n">
        <f aca="false">F63/1000</f>
        <v>0.179</v>
      </c>
      <c r="J63" s="4" t="n">
        <f aca="false">G63/1000</f>
        <v>0.179</v>
      </c>
      <c r="K63" s="4" t="n">
        <f aca="false">H63/1000</f>
        <v>0.183</v>
      </c>
    </row>
    <row r="64" customFormat="false" ht="15" hidden="false" customHeight="false" outlineLevel="0" collapsed="false">
      <c r="A64" s="2" t="s">
        <v>37</v>
      </c>
      <c r="B64" s="2" t="n">
        <v>1</v>
      </c>
      <c r="C64" s="2" t="s">
        <v>30</v>
      </c>
      <c r="D64" s="2" t="s">
        <v>24</v>
      </c>
      <c r="E64" s="2" t="n">
        <v>8</v>
      </c>
      <c r="F64" s="2" t="n">
        <v>1000000</v>
      </c>
      <c r="G64" s="2" t="n">
        <v>2500000</v>
      </c>
      <c r="H64" s="2" t="n">
        <v>4000004</v>
      </c>
      <c r="I64" s="4" t="n">
        <f aca="false">F64/1000</f>
        <v>1000</v>
      </c>
      <c r="J64" s="4" t="n">
        <f aca="false">G64/1000</f>
        <v>2500</v>
      </c>
      <c r="K64" s="4" t="n">
        <f aca="false">H64/1000</f>
        <v>4000.004</v>
      </c>
    </row>
    <row r="65" customFormat="false" ht="15" hidden="false" customHeight="false" outlineLevel="0" collapsed="false">
      <c r="A65" s="2" t="s">
        <v>37</v>
      </c>
      <c r="B65" s="2" t="n">
        <v>1</v>
      </c>
      <c r="C65" s="2" t="s">
        <v>30</v>
      </c>
      <c r="D65" s="2" t="s">
        <v>26</v>
      </c>
      <c r="E65" s="2" t="n">
        <v>8</v>
      </c>
      <c r="F65" s="2" t="n">
        <v>1000000</v>
      </c>
      <c r="G65" s="2" t="n">
        <v>2500000</v>
      </c>
      <c r="H65" s="2" t="n">
        <v>4000004</v>
      </c>
      <c r="I65" s="4" t="n">
        <f aca="false">F65/1000</f>
        <v>1000</v>
      </c>
      <c r="J65" s="4" t="n">
        <f aca="false">G65/1000</f>
        <v>2500</v>
      </c>
      <c r="K65" s="4" t="n">
        <f aca="false">H65/1000</f>
        <v>4000.004</v>
      </c>
    </row>
    <row r="66" customFormat="false" ht="15" hidden="false" customHeight="false" outlineLevel="0" collapsed="false">
      <c r="A66" s="2" t="s">
        <v>37</v>
      </c>
      <c r="B66" s="2" t="n">
        <v>1</v>
      </c>
      <c r="C66" s="2" t="s">
        <v>30</v>
      </c>
      <c r="D66" s="2" t="s">
        <v>27</v>
      </c>
      <c r="E66" s="2" t="n">
        <v>8</v>
      </c>
      <c r="F66" s="2" t="n">
        <v>179</v>
      </c>
      <c r="G66" s="2" t="n">
        <v>179</v>
      </c>
      <c r="H66" s="2" t="n">
        <v>179</v>
      </c>
      <c r="I66" s="4" t="n">
        <f aca="false">F66/1000</f>
        <v>0.179</v>
      </c>
      <c r="J66" s="4" t="n">
        <f aca="false">G66/1000</f>
        <v>0.179</v>
      </c>
      <c r="K66" s="4" t="n">
        <f aca="false">H66/1000</f>
        <v>0.179</v>
      </c>
    </row>
    <row r="67" customFormat="false" ht="15" hidden="false" customHeight="false" outlineLevel="0" collapsed="false">
      <c r="A67" s="2" t="s">
        <v>37</v>
      </c>
      <c r="B67" s="2" t="n">
        <v>2</v>
      </c>
      <c r="C67" s="2" t="s">
        <v>30</v>
      </c>
      <c r="D67" s="2" t="s">
        <v>24</v>
      </c>
      <c r="E67" s="2" t="n">
        <v>8</v>
      </c>
      <c r="F67" s="2" t="n">
        <v>1000000</v>
      </c>
      <c r="G67" s="2" t="n">
        <v>2500000</v>
      </c>
      <c r="H67" s="2" t="n">
        <v>4000004</v>
      </c>
      <c r="I67" s="4" t="n">
        <f aca="false">F67/1000</f>
        <v>1000</v>
      </c>
      <c r="J67" s="4" t="n">
        <f aca="false">G67/1000</f>
        <v>2500</v>
      </c>
      <c r="K67" s="4" t="n">
        <f aca="false">H67/1000</f>
        <v>4000.004</v>
      </c>
    </row>
    <row r="68" customFormat="false" ht="15" hidden="false" customHeight="false" outlineLevel="0" collapsed="false">
      <c r="A68" s="2" t="s">
        <v>37</v>
      </c>
      <c r="B68" s="2" t="n">
        <v>2</v>
      </c>
      <c r="C68" s="2" t="s">
        <v>30</v>
      </c>
      <c r="D68" s="2" t="s">
        <v>26</v>
      </c>
      <c r="E68" s="2" t="n">
        <v>8</v>
      </c>
      <c r="F68" s="2" t="n">
        <v>1000000</v>
      </c>
      <c r="G68" s="2" t="n">
        <v>2500000</v>
      </c>
      <c r="H68" s="2" t="n">
        <v>4000004</v>
      </c>
      <c r="I68" s="4" t="n">
        <f aca="false">F68/1000</f>
        <v>1000</v>
      </c>
      <c r="J68" s="4" t="n">
        <f aca="false">G68/1000</f>
        <v>2500</v>
      </c>
      <c r="K68" s="4" t="n">
        <f aca="false">H68/1000</f>
        <v>4000.004</v>
      </c>
    </row>
    <row r="69" customFormat="false" ht="15" hidden="false" customHeight="false" outlineLevel="0" collapsed="false">
      <c r="A69" s="2" t="s">
        <v>37</v>
      </c>
      <c r="B69" s="2" t="n">
        <v>2</v>
      </c>
      <c r="C69" s="2" t="s">
        <v>30</v>
      </c>
      <c r="D69" s="2" t="s">
        <v>27</v>
      </c>
      <c r="E69" s="2" t="n">
        <v>8</v>
      </c>
      <c r="F69" s="2" t="n">
        <v>179</v>
      </c>
      <c r="G69" s="2" t="n">
        <v>179</v>
      </c>
      <c r="H69" s="2" t="n">
        <v>179</v>
      </c>
      <c r="I69" s="4" t="n">
        <f aca="false">F69/1000</f>
        <v>0.179</v>
      </c>
      <c r="J69" s="4" t="n">
        <f aca="false">G69/1000</f>
        <v>0.179</v>
      </c>
      <c r="K69" s="4" t="n">
        <f aca="false">H69/1000</f>
        <v>0.179</v>
      </c>
    </row>
    <row r="70" customFormat="false" ht="15" hidden="false" customHeight="false" outlineLevel="0" collapsed="false">
      <c r="A70" s="2" t="s">
        <v>37</v>
      </c>
      <c r="B70" s="2" t="n">
        <v>3</v>
      </c>
      <c r="C70" s="2" t="s">
        <v>30</v>
      </c>
      <c r="D70" s="2" t="s">
        <v>24</v>
      </c>
      <c r="E70" s="2" t="n">
        <v>8</v>
      </c>
      <c r="F70" s="2" t="n">
        <v>1000000</v>
      </c>
      <c r="G70" s="2" t="n">
        <v>2500000</v>
      </c>
      <c r="H70" s="2" t="n">
        <v>4000004</v>
      </c>
      <c r="I70" s="4" t="n">
        <f aca="false">F70/1000</f>
        <v>1000</v>
      </c>
      <c r="J70" s="4" t="n">
        <f aca="false">G70/1000</f>
        <v>2500</v>
      </c>
      <c r="K70" s="4" t="n">
        <f aca="false">H70/1000</f>
        <v>4000.004</v>
      </c>
    </row>
    <row r="71" customFormat="false" ht="15" hidden="false" customHeight="false" outlineLevel="0" collapsed="false">
      <c r="A71" s="2" t="s">
        <v>37</v>
      </c>
      <c r="B71" s="2" t="n">
        <v>3</v>
      </c>
      <c r="C71" s="2" t="s">
        <v>30</v>
      </c>
      <c r="D71" s="2" t="s">
        <v>26</v>
      </c>
      <c r="E71" s="2" t="n">
        <v>8</v>
      </c>
      <c r="F71" s="2" t="n">
        <v>1000000</v>
      </c>
      <c r="G71" s="2" t="n">
        <v>2500000</v>
      </c>
      <c r="H71" s="2" t="n">
        <v>4000004</v>
      </c>
      <c r="I71" s="4" t="n">
        <f aca="false">F71/1000</f>
        <v>1000</v>
      </c>
      <c r="J71" s="4" t="n">
        <f aca="false">G71/1000</f>
        <v>2500</v>
      </c>
      <c r="K71" s="4" t="n">
        <f aca="false">H71/1000</f>
        <v>4000.004</v>
      </c>
    </row>
    <row r="72" customFormat="false" ht="15" hidden="false" customHeight="false" outlineLevel="0" collapsed="false">
      <c r="A72" s="2" t="s">
        <v>37</v>
      </c>
      <c r="B72" s="2" t="n">
        <v>3</v>
      </c>
      <c r="C72" s="2" t="s">
        <v>30</v>
      </c>
      <c r="D72" s="2" t="s">
        <v>27</v>
      </c>
      <c r="E72" s="2" t="n">
        <v>8</v>
      </c>
      <c r="F72" s="2" t="n">
        <v>179</v>
      </c>
      <c r="G72" s="2" t="n">
        <v>179</v>
      </c>
      <c r="H72" s="2" t="n">
        <v>179</v>
      </c>
      <c r="I72" s="4" t="n">
        <f aca="false">F72/1000</f>
        <v>0.179</v>
      </c>
      <c r="J72" s="4" t="n">
        <f aca="false">G72/1000</f>
        <v>0.179</v>
      </c>
      <c r="K72" s="4" t="n">
        <f aca="false">H72/1000</f>
        <v>0.179</v>
      </c>
    </row>
    <row r="73" customFormat="false" ht="15" hidden="false" customHeight="false" outlineLevel="0" collapsed="false">
      <c r="A73" s="2" t="s">
        <v>38</v>
      </c>
      <c r="B73" s="2" t="n">
        <v>1</v>
      </c>
      <c r="C73" s="2" t="s">
        <v>30</v>
      </c>
      <c r="D73" s="2" t="s">
        <v>24</v>
      </c>
      <c r="E73" s="2" t="n">
        <v>200</v>
      </c>
      <c r="F73" s="2" t="n">
        <v>1000000</v>
      </c>
      <c r="G73" s="2" t="n">
        <v>6029408</v>
      </c>
      <c r="H73" s="2" t="n">
        <v>10994308</v>
      </c>
      <c r="I73" s="4" t="n">
        <f aca="false">F73/1000</f>
        <v>1000</v>
      </c>
      <c r="J73" s="4" t="n">
        <f aca="false">G73/1000</f>
        <v>6029.408</v>
      </c>
      <c r="K73" s="4" t="n">
        <f aca="false">H73/1000</f>
        <v>10994.308</v>
      </c>
    </row>
    <row r="74" customFormat="false" ht="15" hidden="false" customHeight="false" outlineLevel="0" collapsed="false">
      <c r="A74" s="2" t="s">
        <v>38</v>
      </c>
      <c r="B74" s="2" t="n">
        <v>1</v>
      </c>
      <c r="C74" s="2" t="s">
        <v>30</v>
      </c>
      <c r="D74" s="2" t="s">
        <v>26</v>
      </c>
      <c r="E74" s="2" t="n">
        <v>200</v>
      </c>
      <c r="F74" s="2" t="n">
        <v>1000000</v>
      </c>
      <c r="G74" s="2" t="n">
        <v>6029408</v>
      </c>
      <c r="H74" s="2" t="n">
        <v>10994308</v>
      </c>
      <c r="I74" s="4" t="n">
        <f aca="false">F74/1000</f>
        <v>1000</v>
      </c>
      <c r="J74" s="4" t="n">
        <f aca="false">G74/1000</f>
        <v>6029.408</v>
      </c>
      <c r="K74" s="4" t="n">
        <f aca="false">H74/1000</f>
        <v>10994.308</v>
      </c>
    </row>
    <row r="75" customFormat="false" ht="15" hidden="false" customHeight="false" outlineLevel="0" collapsed="false">
      <c r="A75" s="2" t="s">
        <v>38</v>
      </c>
      <c r="B75" s="2" t="n">
        <v>1</v>
      </c>
      <c r="C75" s="2" t="s">
        <v>30</v>
      </c>
      <c r="D75" s="2" t="s">
        <v>27</v>
      </c>
      <c r="E75" s="2" t="n">
        <v>200</v>
      </c>
      <c r="F75" s="2" t="n">
        <v>179</v>
      </c>
      <c r="G75" s="2" t="n">
        <v>179</v>
      </c>
      <c r="H75" s="2" t="n">
        <v>183</v>
      </c>
      <c r="I75" s="4" t="n">
        <f aca="false">F75/1000</f>
        <v>0.179</v>
      </c>
      <c r="J75" s="4" t="n">
        <f aca="false">G75/1000</f>
        <v>0.179</v>
      </c>
      <c r="K75" s="4" t="n">
        <f aca="false">H75/1000</f>
        <v>0.183</v>
      </c>
    </row>
    <row r="76" customFormat="false" ht="15" hidden="false" customHeight="false" outlineLevel="0" collapsed="false">
      <c r="A76" s="2" t="s">
        <v>38</v>
      </c>
      <c r="B76" s="2" t="n">
        <v>2</v>
      </c>
      <c r="C76" s="2" t="s">
        <v>30</v>
      </c>
      <c r="D76" s="2" t="s">
        <v>24</v>
      </c>
      <c r="E76" s="2" t="n">
        <v>200</v>
      </c>
      <c r="F76" s="2" t="n">
        <v>1000000</v>
      </c>
      <c r="G76" s="2" t="n">
        <v>6029408</v>
      </c>
      <c r="H76" s="2" t="n">
        <v>10994308</v>
      </c>
      <c r="I76" s="4" t="n">
        <f aca="false">F76/1000</f>
        <v>1000</v>
      </c>
      <c r="J76" s="4" t="n">
        <f aca="false">G76/1000</f>
        <v>6029.408</v>
      </c>
      <c r="K76" s="4" t="n">
        <f aca="false">H76/1000</f>
        <v>10994.308</v>
      </c>
    </row>
    <row r="77" customFormat="false" ht="15" hidden="false" customHeight="false" outlineLevel="0" collapsed="false">
      <c r="A77" s="2" t="s">
        <v>38</v>
      </c>
      <c r="B77" s="2" t="n">
        <v>2</v>
      </c>
      <c r="C77" s="2" t="s">
        <v>30</v>
      </c>
      <c r="D77" s="2" t="s">
        <v>26</v>
      </c>
      <c r="E77" s="2" t="n">
        <v>200</v>
      </c>
      <c r="F77" s="2" t="n">
        <v>1000000</v>
      </c>
      <c r="G77" s="2" t="n">
        <v>6029408</v>
      </c>
      <c r="H77" s="2" t="n">
        <v>10994308</v>
      </c>
      <c r="I77" s="4" t="n">
        <f aca="false">F77/1000</f>
        <v>1000</v>
      </c>
      <c r="J77" s="4" t="n">
        <f aca="false">G77/1000</f>
        <v>6029.408</v>
      </c>
      <c r="K77" s="4" t="n">
        <f aca="false">H77/1000</f>
        <v>10994.308</v>
      </c>
    </row>
    <row r="78" customFormat="false" ht="15" hidden="false" customHeight="false" outlineLevel="0" collapsed="false">
      <c r="A78" s="2" t="s">
        <v>38</v>
      </c>
      <c r="B78" s="2" t="n">
        <v>2</v>
      </c>
      <c r="C78" s="2" t="s">
        <v>30</v>
      </c>
      <c r="D78" s="2" t="s">
        <v>27</v>
      </c>
      <c r="E78" s="2" t="n">
        <v>200</v>
      </c>
      <c r="F78" s="2" t="n">
        <v>179</v>
      </c>
      <c r="G78" s="2" t="n">
        <v>179</v>
      </c>
      <c r="H78" s="2" t="n">
        <v>183</v>
      </c>
      <c r="I78" s="4" t="n">
        <f aca="false">F78/1000</f>
        <v>0.179</v>
      </c>
      <c r="J78" s="4" t="n">
        <f aca="false">G78/1000</f>
        <v>0.179</v>
      </c>
      <c r="K78" s="4" t="n">
        <f aca="false">H78/1000</f>
        <v>0.183</v>
      </c>
    </row>
    <row r="79" customFormat="false" ht="15" hidden="false" customHeight="false" outlineLevel="0" collapsed="false">
      <c r="A79" s="2" t="s">
        <v>38</v>
      </c>
      <c r="B79" s="2" t="n">
        <v>3</v>
      </c>
      <c r="C79" s="2" t="s">
        <v>30</v>
      </c>
      <c r="D79" s="2" t="s">
        <v>24</v>
      </c>
      <c r="E79" s="2" t="n">
        <v>200</v>
      </c>
      <c r="F79" s="2" t="n">
        <v>1000000</v>
      </c>
      <c r="G79" s="2" t="n">
        <v>6029408</v>
      </c>
      <c r="H79" s="2" t="n">
        <v>10994308</v>
      </c>
      <c r="I79" s="4" t="n">
        <f aca="false">F79/1000</f>
        <v>1000</v>
      </c>
      <c r="J79" s="4" t="n">
        <f aca="false">G79/1000</f>
        <v>6029.408</v>
      </c>
      <c r="K79" s="4" t="n">
        <f aca="false">H79/1000</f>
        <v>10994.308</v>
      </c>
    </row>
    <row r="80" customFormat="false" ht="15" hidden="false" customHeight="false" outlineLevel="0" collapsed="false">
      <c r="A80" s="2" t="s">
        <v>38</v>
      </c>
      <c r="B80" s="2" t="n">
        <v>3</v>
      </c>
      <c r="C80" s="2" t="s">
        <v>30</v>
      </c>
      <c r="D80" s="2" t="s">
        <v>26</v>
      </c>
      <c r="E80" s="2" t="n">
        <v>200</v>
      </c>
      <c r="F80" s="2" t="n">
        <v>1000000</v>
      </c>
      <c r="G80" s="2" t="n">
        <v>6029408</v>
      </c>
      <c r="H80" s="2" t="n">
        <v>10994308</v>
      </c>
      <c r="I80" s="4" t="n">
        <f aca="false">F80/1000</f>
        <v>1000</v>
      </c>
      <c r="J80" s="4" t="n">
        <f aca="false">G80/1000</f>
        <v>6029.408</v>
      </c>
      <c r="K80" s="4" t="n">
        <f aca="false">H80/1000</f>
        <v>10994.308</v>
      </c>
    </row>
    <row r="81" customFormat="false" ht="15" hidden="false" customHeight="false" outlineLevel="0" collapsed="false">
      <c r="A81" s="2" t="s">
        <v>38</v>
      </c>
      <c r="B81" s="2" t="n">
        <v>3</v>
      </c>
      <c r="C81" s="2" t="s">
        <v>30</v>
      </c>
      <c r="D81" s="2" t="s">
        <v>27</v>
      </c>
      <c r="E81" s="2" t="n">
        <v>200</v>
      </c>
      <c r="F81" s="2" t="n">
        <v>179</v>
      </c>
      <c r="G81" s="2" t="n">
        <v>179</v>
      </c>
      <c r="H81" s="2" t="n">
        <v>183</v>
      </c>
      <c r="I81" s="4" t="n">
        <f aca="false">F81/1000</f>
        <v>0.179</v>
      </c>
      <c r="J81" s="4" t="n">
        <f aca="false">G81/1000</f>
        <v>0.179</v>
      </c>
      <c r="K81" s="4" t="n">
        <f aca="false">H81/1000</f>
        <v>0.183</v>
      </c>
    </row>
    <row r="82" customFormat="false" ht="15" hidden="false" customHeight="false" outlineLevel="0" collapsed="false">
      <c r="A82" s="2" t="s">
        <v>39</v>
      </c>
      <c r="B82" s="2" t="n">
        <v>1</v>
      </c>
      <c r="C82" s="2" t="s">
        <v>30</v>
      </c>
      <c r="D82" s="2" t="s">
        <v>24</v>
      </c>
      <c r="E82" s="2" t="n">
        <v>108</v>
      </c>
      <c r="F82" s="2" t="n">
        <v>1000000</v>
      </c>
      <c r="G82" s="2" t="n">
        <v>3500254</v>
      </c>
      <c r="H82" s="2" t="n">
        <v>6001516</v>
      </c>
      <c r="I82" s="4" t="n">
        <f aca="false">F82/1000</f>
        <v>1000</v>
      </c>
      <c r="J82" s="4" t="n">
        <f aca="false">G82/1000</f>
        <v>3500.254</v>
      </c>
      <c r="K82" s="4" t="n">
        <f aca="false">H82/1000</f>
        <v>6001.516</v>
      </c>
    </row>
    <row r="83" customFormat="false" ht="15" hidden="false" customHeight="false" outlineLevel="0" collapsed="false">
      <c r="A83" s="2" t="s">
        <v>39</v>
      </c>
      <c r="B83" s="2" t="n">
        <v>1</v>
      </c>
      <c r="C83" s="2" t="s">
        <v>30</v>
      </c>
      <c r="D83" s="2" t="s">
        <v>26</v>
      </c>
      <c r="E83" s="2" t="n">
        <v>108</v>
      </c>
      <c r="F83" s="2" t="n">
        <v>1000000</v>
      </c>
      <c r="G83" s="2" t="n">
        <v>3500254</v>
      </c>
      <c r="H83" s="2" t="n">
        <v>6001516</v>
      </c>
      <c r="I83" s="4" t="n">
        <f aca="false">F83/1000</f>
        <v>1000</v>
      </c>
      <c r="J83" s="4" t="n">
        <f aca="false">G83/1000</f>
        <v>3500.254</v>
      </c>
      <c r="K83" s="4" t="n">
        <f aca="false">H83/1000</f>
        <v>6001.516</v>
      </c>
    </row>
    <row r="84" customFormat="false" ht="15" hidden="false" customHeight="false" outlineLevel="0" collapsed="false">
      <c r="A84" s="2" t="s">
        <v>39</v>
      </c>
      <c r="B84" s="2" t="n">
        <v>1</v>
      </c>
      <c r="C84" s="2" t="s">
        <v>30</v>
      </c>
      <c r="D84" s="2" t="s">
        <v>27</v>
      </c>
      <c r="E84" s="2" t="n">
        <v>108</v>
      </c>
      <c r="F84" s="2" t="n">
        <v>179</v>
      </c>
      <c r="G84" s="2" t="n">
        <v>179</v>
      </c>
      <c r="H84" s="2" t="n">
        <v>183</v>
      </c>
      <c r="I84" s="4" t="n">
        <f aca="false">F84/1000</f>
        <v>0.179</v>
      </c>
      <c r="J84" s="4" t="n">
        <f aca="false">G84/1000</f>
        <v>0.179</v>
      </c>
      <c r="K84" s="4" t="n">
        <f aca="false">H84/1000</f>
        <v>0.183</v>
      </c>
    </row>
    <row r="85" customFormat="false" ht="15" hidden="false" customHeight="false" outlineLevel="0" collapsed="false">
      <c r="A85" s="2" t="s">
        <v>39</v>
      </c>
      <c r="B85" s="2" t="n">
        <v>2</v>
      </c>
      <c r="C85" s="2" t="s">
        <v>30</v>
      </c>
      <c r="D85" s="2" t="s">
        <v>24</v>
      </c>
      <c r="E85" s="2" t="n">
        <v>108</v>
      </c>
      <c r="F85" s="2" t="n">
        <v>1000000</v>
      </c>
      <c r="G85" s="2" t="n">
        <v>3500254</v>
      </c>
      <c r="H85" s="2" t="n">
        <v>6001516</v>
      </c>
      <c r="I85" s="4" t="n">
        <f aca="false">F85/1000</f>
        <v>1000</v>
      </c>
      <c r="J85" s="4" t="n">
        <f aca="false">G85/1000</f>
        <v>3500.254</v>
      </c>
      <c r="K85" s="4" t="n">
        <f aca="false">H85/1000</f>
        <v>6001.516</v>
      </c>
    </row>
    <row r="86" customFormat="false" ht="15" hidden="false" customHeight="false" outlineLevel="0" collapsed="false">
      <c r="A86" s="2" t="s">
        <v>39</v>
      </c>
      <c r="B86" s="2" t="n">
        <v>2</v>
      </c>
      <c r="C86" s="2" t="s">
        <v>30</v>
      </c>
      <c r="D86" s="2" t="s">
        <v>26</v>
      </c>
      <c r="E86" s="2" t="n">
        <v>108</v>
      </c>
      <c r="F86" s="2" t="n">
        <v>1000000</v>
      </c>
      <c r="G86" s="2" t="n">
        <v>3500254</v>
      </c>
      <c r="H86" s="2" t="n">
        <v>6001516</v>
      </c>
      <c r="I86" s="4" t="n">
        <f aca="false">F86/1000</f>
        <v>1000</v>
      </c>
      <c r="J86" s="4" t="n">
        <f aca="false">G86/1000</f>
        <v>3500.254</v>
      </c>
      <c r="K86" s="4" t="n">
        <f aca="false">H86/1000</f>
        <v>6001.516</v>
      </c>
    </row>
    <row r="87" customFormat="false" ht="15" hidden="false" customHeight="false" outlineLevel="0" collapsed="false">
      <c r="A87" s="2" t="s">
        <v>39</v>
      </c>
      <c r="B87" s="2" t="n">
        <v>2</v>
      </c>
      <c r="C87" s="2" t="s">
        <v>30</v>
      </c>
      <c r="D87" s="2" t="s">
        <v>27</v>
      </c>
      <c r="E87" s="2" t="n">
        <v>108</v>
      </c>
      <c r="F87" s="2" t="n">
        <v>179</v>
      </c>
      <c r="G87" s="2" t="n">
        <v>179</v>
      </c>
      <c r="H87" s="2" t="n">
        <v>183</v>
      </c>
      <c r="I87" s="4" t="n">
        <f aca="false">F87/1000</f>
        <v>0.179</v>
      </c>
      <c r="J87" s="4" t="n">
        <f aca="false">G87/1000</f>
        <v>0.179</v>
      </c>
      <c r="K87" s="4" t="n">
        <f aca="false">H87/1000</f>
        <v>0.183</v>
      </c>
    </row>
    <row r="88" customFormat="false" ht="15" hidden="false" customHeight="false" outlineLevel="0" collapsed="false">
      <c r="A88" s="2" t="s">
        <v>39</v>
      </c>
      <c r="B88" s="2" t="n">
        <v>3</v>
      </c>
      <c r="C88" s="2" t="s">
        <v>30</v>
      </c>
      <c r="D88" s="2" t="s">
        <v>24</v>
      </c>
      <c r="E88" s="2" t="n">
        <v>108</v>
      </c>
      <c r="F88" s="2" t="n">
        <v>1000000</v>
      </c>
      <c r="G88" s="2" t="n">
        <v>3500254</v>
      </c>
      <c r="H88" s="2" t="n">
        <v>6001516</v>
      </c>
      <c r="I88" s="4" t="n">
        <f aca="false">F88/1000</f>
        <v>1000</v>
      </c>
      <c r="J88" s="4" t="n">
        <f aca="false">G88/1000</f>
        <v>3500.254</v>
      </c>
      <c r="K88" s="4" t="n">
        <f aca="false">H88/1000</f>
        <v>6001.516</v>
      </c>
    </row>
    <row r="89" customFormat="false" ht="15" hidden="false" customHeight="false" outlineLevel="0" collapsed="false">
      <c r="A89" s="2" t="s">
        <v>39</v>
      </c>
      <c r="B89" s="2" t="n">
        <v>3</v>
      </c>
      <c r="C89" s="2" t="s">
        <v>30</v>
      </c>
      <c r="D89" s="2" t="s">
        <v>26</v>
      </c>
      <c r="E89" s="2" t="n">
        <v>108</v>
      </c>
      <c r="F89" s="2" t="n">
        <v>1000000</v>
      </c>
      <c r="G89" s="2" t="n">
        <v>3500254</v>
      </c>
      <c r="H89" s="2" t="n">
        <v>6001516</v>
      </c>
      <c r="I89" s="4" t="n">
        <f aca="false">F89/1000</f>
        <v>1000</v>
      </c>
      <c r="J89" s="4" t="n">
        <f aca="false">G89/1000</f>
        <v>3500.254</v>
      </c>
      <c r="K89" s="4" t="n">
        <f aca="false">H89/1000</f>
        <v>6001.516</v>
      </c>
    </row>
    <row r="90" customFormat="false" ht="15" hidden="false" customHeight="false" outlineLevel="0" collapsed="false">
      <c r="A90" s="2" t="s">
        <v>39</v>
      </c>
      <c r="B90" s="2" t="n">
        <v>3</v>
      </c>
      <c r="C90" s="2" t="s">
        <v>30</v>
      </c>
      <c r="D90" s="2" t="s">
        <v>27</v>
      </c>
      <c r="E90" s="2" t="n">
        <v>108</v>
      </c>
      <c r="F90" s="2" t="n">
        <v>179</v>
      </c>
      <c r="G90" s="2" t="n">
        <v>179</v>
      </c>
      <c r="H90" s="2" t="n">
        <v>183</v>
      </c>
      <c r="I90" s="4" t="n">
        <f aca="false">F90/1000</f>
        <v>0.179</v>
      </c>
      <c r="J90" s="4" t="n">
        <f aca="false">G90/1000</f>
        <v>0.179</v>
      </c>
      <c r="K90" s="4" t="n">
        <f aca="false">H90/1000</f>
        <v>0.183</v>
      </c>
    </row>
    <row r="91" customFormat="false" ht="15" hidden="false" customHeight="false" outlineLevel="0" collapsed="false">
      <c r="A91" s="2" t="s">
        <v>40</v>
      </c>
      <c r="B91" s="2" t="n">
        <v>1</v>
      </c>
      <c r="C91" s="2" t="s">
        <v>30</v>
      </c>
      <c r="D91" s="2" t="s">
        <v>24</v>
      </c>
      <c r="E91" s="2" t="n">
        <v>200</v>
      </c>
      <c r="F91" s="2" t="n">
        <v>1000000</v>
      </c>
      <c r="G91" s="2" t="n">
        <v>1497070</v>
      </c>
      <c r="H91" s="2" t="n">
        <v>1994308</v>
      </c>
      <c r="I91" s="4" t="n">
        <f aca="false">F91/1000</f>
        <v>1000</v>
      </c>
      <c r="J91" s="4" t="n">
        <f aca="false">G91/1000</f>
        <v>1497.07</v>
      </c>
      <c r="K91" s="4" t="n">
        <f aca="false">H91/1000</f>
        <v>1994.308</v>
      </c>
    </row>
    <row r="92" customFormat="false" ht="15" hidden="false" customHeight="false" outlineLevel="0" collapsed="false">
      <c r="A92" s="2" t="s">
        <v>40</v>
      </c>
      <c r="B92" s="2" t="n">
        <v>1</v>
      </c>
      <c r="C92" s="2" t="s">
        <v>30</v>
      </c>
      <c r="D92" s="2" t="s">
        <v>26</v>
      </c>
      <c r="E92" s="2" t="n">
        <v>200</v>
      </c>
      <c r="F92" s="2" t="n">
        <v>1000000</v>
      </c>
      <c r="G92" s="2" t="n">
        <v>1497070</v>
      </c>
      <c r="H92" s="2" t="n">
        <v>1994308</v>
      </c>
      <c r="I92" s="4" t="n">
        <f aca="false">F92/1000</f>
        <v>1000</v>
      </c>
      <c r="J92" s="4" t="n">
        <f aca="false">G92/1000</f>
        <v>1497.07</v>
      </c>
      <c r="K92" s="4" t="n">
        <f aca="false">H92/1000</f>
        <v>1994.308</v>
      </c>
    </row>
    <row r="93" customFormat="false" ht="15" hidden="false" customHeight="false" outlineLevel="0" collapsed="false">
      <c r="A93" s="2" t="s">
        <v>40</v>
      </c>
      <c r="B93" s="2" t="n">
        <v>1</v>
      </c>
      <c r="C93" s="2" t="s">
        <v>30</v>
      </c>
      <c r="D93" s="2" t="s">
        <v>27</v>
      </c>
      <c r="E93" s="2" t="n">
        <v>200</v>
      </c>
      <c r="F93" s="2" t="n">
        <v>179</v>
      </c>
      <c r="G93" s="2" t="n">
        <v>179</v>
      </c>
      <c r="H93" s="2" t="n">
        <v>183</v>
      </c>
      <c r="I93" s="4" t="n">
        <f aca="false">F93/1000</f>
        <v>0.179</v>
      </c>
      <c r="J93" s="4" t="n">
        <f aca="false">G93/1000</f>
        <v>0.179</v>
      </c>
      <c r="K93" s="4" t="n">
        <f aca="false">H93/1000</f>
        <v>0.183</v>
      </c>
    </row>
    <row r="94" customFormat="false" ht="15" hidden="false" customHeight="false" outlineLevel="0" collapsed="false">
      <c r="A94" s="2" t="s">
        <v>40</v>
      </c>
      <c r="B94" s="2" t="n">
        <v>2</v>
      </c>
      <c r="C94" s="2" t="s">
        <v>30</v>
      </c>
      <c r="D94" s="2" t="s">
        <v>24</v>
      </c>
      <c r="E94" s="2" t="n">
        <v>200</v>
      </c>
      <c r="F94" s="2" t="n">
        <v>1000000</v>
      </c>
      <c r="G94" s="2" t="n">
        <v>1497070</v>
      </c>
      <c r="H94" s="2" t="n">
        <v>1994308</v>
      </c>
      <c r="I94" s="4" t="n">
        <f aca="false">F94/1000</f>
        <v>1000</v>
      </c>
      <c r="J94" s="4" t="n">
        <f aca="false">G94/1000</f>
        <v>1497.07</v>
      </c>
      <c r="K94" s="4" t="n">
        <f aca="false">H94/1000</f>
        <v>1994.308</v>
      </c>
    </row>
    <row r="95" customFormat="false" ht="15" hidden="false" customHeight="false" outlineLevel="0" collapsed="false">
      <c r="A95" s="2" t="s">
        <v>40</v>
      </c>
      <c r="B95" s="2" t="n">
        <v>2</v>
      </c>
      <c r="C95" s="2" t="s">
        <v>30</v>
      </c>
      <c r="D95" s="2" t="s">
        <v>26</v>
      </c>
      <c r="E95" s="2" t="n">
        <v>200</v>
      </c>
      <c r="F95" s="2" t="n">
        <v>1000000</v>
      </c>
      <c r="G95" s="2" t="n">
        <v>1497070</v>
      </c>
      <c r="H95" s="2" t="n">
        <v>1994308</v>
      </c>
      <c r="I95" s="4" t="n">
        <f aca="false">F95/1000</f>
        <v>1000</v>
      </c>
      <c r="J95" s="4" t="n">
        <f aca="false">G95/1000</f>
        <v>1497.07</v>
      </c>
      <c r="K95" s="4" t="n">
        <f aca="false">H95/1000</f>
        <v>1994.308</v>
      </c>
    </row>
    <row r="96" customFormat="false" ht="15" hidden="false" customHeight="false" outlineLevel="0" collapsed="false">
      <c r="A96" s="2" t="s">
        <v>40</v>
      </c>
      <c r="B96" s="2" t="n">
        <v>2</v>
      </c>
      <c r="C96" s="2" t="s">
        <v>30</v>
      </c>
      <c r="D96" s="2" t="s">
        <v>27</v>
      </c>
      <c r="E96" s="2" t="n">
        <v>200</v>
      </c>
      <c r="F96" s="2" t="n">
        <v>179</v>
      </c>
      <c r="G96" s="2" t="n">
        <v>179</v>
      </c>
      <c r="H96" s="2" t="n">
        <v>183</v>
      </c>
      <c r="I96" s="4" t="n">
        <f aca="false">F96/1000</f>
        <v>0.179</v>
      </c>
      <c r="J96" s="4" t="n">
        <f aca="false">G96/1000</f>
        <v>0.179</v>
      </c>
      <c r="K96" s="4" t="n">
        <f aca="false">H96/1000</f>
        <v>0.183</v>
      </c>
    </row>
    <row r="97" customFormat="false" ht="15" hidden="false" customHeight="false" outlineLevel="0" collapsed="false">
      <c r="A97" s="2" t="s">
        <v>40</v>
      </c>
      <c r="B97" s="2" t="n">
        <v>3</v>
      </c>
      <c r="C97" s="2" t="s">
        <v>30</v>
      </c>
      <c r="D97" s="2" t="s">
        <v>24</v>
      </c>
      <c r="E97" s="2" t="n">
        <v>200</v>
      </c>
      <c r="F97" s="2" t="n">
        <v>1000000</v>
      </c>
      <c r="G97" s="2" t="n">
        <v>1497070</v>
      </c>
      <c r="H97" s="2" t="n">
        <v>1994308</v>
      </c>
      <c r="I97" s="4" t="n">
        <f aca="false">F97/1000</f>
        <v>1000</v>
      </c>
      <c r="J97" s="4" t="n">
        <f aca="false">G97/1000</f>
        <v>1497.07</v>
      </c>
      <c r="K97" s="4" t="n">
        <f aca="false">H97/1000</f>
        <v>1994.308</v>
      </c>
    </row>
    <row r="98" customFormat="false" ht="15" hidden="false" customHeight="false" outlineLevel="0" collapsed="false">
      <c r="A98" s="2" t="s">
        <v>40</v>
      </c>
      <c r="B98" s="2" t="n">
        <v>3</v>
      </c>
      <c r="C98" s="2" t="s">
        <v>30</v>
      </c>
      <c r="D98" s="2" t="s">
        <v>26</v>
      </c>
      <c r="E98" s="2" t="n">
        <v>200</v>
      </c>
      <c r="F98" s="2" t="n">
        <v>1000000</v>
      </c>
      <c r="G98" s="2" t="n">
        <v>1497070</v>
      </c>
      <c r="H98" s="2" t="n">
        <v>1994308</v>
      </c>
      <c r="I98" s="4" t="n">
        <f aca="false">F98/1000</f>
        <v>1000</v>
      </c>
      <c r="J98" s="4" t="n">
        <f aca="false">G98/1000</f>
        <v>1497.07</v>
      </c>
      <c r="K98" s="4" t="n">
        <f aca="false">H98/1000</f>
        <v>1994.308</v>
      </c>
    </row>
    <row r="99" customFormat="false" ht="15" hidden="false" customHeight="false" outlineLevel="0" collapsed="false">
      <c r="A99" s="2" t="s">
        <v>40</v>
      </c>
      <c r="B99" s="2" t="n">
        <v>3</v>
      </c>
      <c r="C99" s="2" t="s">
        <v>30</v>
      </c>
      <c r="D99" s="2" t="s">
        <v>27</v>
      </c>
      <c r="E99" s="2" t="n">
        <v>200</v>
      </c>
      <c r="F99" s="2" t="n">
        <v>179</v>
      </c>
      <c r="G99" s="2" t="n">
        <v>179</v>
      </c>
      <c r="H99" s="2" t="n">
        <v>183</v>
      </c>
      <c r="I99" s="4" t="n">
        <f aca="false">F99/1000</f>
        <v>0.179</v>
      </c>
      <c r="J99" s="4" t="n">
        <f aca="false">G99/1000</f>
        <v>0.179</v>
      </c>
      <c r="K99" s="4" t="n">
        <f aca="false">H99/1000</f>
        <v>0.183</v>
      </c>
    </row>
    <row r="100" customFormat="false" ht="15" hidden="false" customHeight="false" outlineLevel="0" collapsed="false">
      <c r="A100" s="2" t="s">
        <v>41</v>
      </c>
      <c r="B100" s="2" t="n">
        <v>1</v>
      </c>
      <c r="C100" s="2" t="s">
        <v>30</v>
      </c>
      <c r="D100" s="2" t="s">
        <v>24</v>
      </c>
      <c r="E100" s="2" t="n">
        <v>200</v>
      </c>
      <c r="F100" s="2" t="n">
        <v>1000000</v>
      </c>
      <c r="G100" s="2" t="n">
        <v>1497075</v>
      </c>
      <c r="H100" s="2" t="n">
        <v>1994308</v>
      </c>
      <c r="I100" s="4" t="n">
        <f aca="false">F100/1000</f>
        <v>1000</v>
      </c>
      <c r="J100" s="4" t="n">
        <f aca="false">G100/1000</f>
        <v>1497.075</v>
      </c>
      <c r="K100" s="4" t="n">
        <f aca="false">H100/1000</f>
        <v>1994.308</v>
      </c>
    </row>
    <row r="101" customFormat="false" ht="15" hidden="false" customHeight="false" outlineLevel="0" collapsed="false">
      <c r="A101" s="2" t="s">
        <v>41</v>
      </c>
      <c r="B101" s="2" t="n">
        <v>1</v>
      </c>
      <c r="C101" s="2" t="s">
        <v>30</v>
      </c>
      <c r="D101" s="2" t="s">
        <v>26</v>
      </c>
      <c r="E101" s="2" t="n">
        <v>200</v>
      </c>
      <c r="F101" s="2" t="n">
        <v>1000000</v>
      </c>
      <c r="G101" s="2" t="n">
        <v>1497075</v>
      </c>
      <c r="H101" s="2" t="n">
        <v>1994308</v>
      </c>
      <c r="I101" s="4" t="n">
        <f aca="false">F101/1000</f>
        <v>1000</v>
      </c>
      <c r="J101" s="4" t="n">
        <f aca="false">G101/1000</f>
        <v>1497.075</v>
      </c>
      <c r="K101" s="4" t="n">
        <f aca="false">H101/1000</f>
        <v>1994.308</v>
      </c>
    </row>
    <row r="102" customFormat="false" ht="15" hidden="false" customHeight="false" outlineLevel="0" collapsed="false">
      <c r="A102" s="2" t="s">
        <v>41</v>
      </c>
      <c r="B102" s="2" t="n">
        <v>1</v>
      </c>
      <c r="C102" s="2" t="s">
        <v>30</v>
      </c>
      <c r="D102" s="2" t="s">
        <v>27</v>
      </c>
      <c r="E102" s="2" t="n">
        <v>200</v>
      </c>
      <c r="F102" s="2" t="n">
        <v>179</v>
      </c>
      <c r="G102" s="2" t="n">
        <v>179</v>
      </c>
      <c r="H102" s="2" t="n">
        <v>183</v>
      </c>
      <c r="I102" s="4" t="n">
        <f aca="false">F102/1000</f>
        <v>0.179</v>
      </c>
      <c r="J102" s="4" t="n">
        <f aca="false">G102/1000</f>
        <v>0.179</v>
      </c>
      <c r="K102" s="4" t="n">
        <f aca="false">H102/1000</f>
        <v>0.183</v>
      </c>
    </row>
    <row r="103" customFormat="false" ht="15" hidden="false" customHeight="false" outlineLevel="0" collapsed="false">
      <c r="A103" s="2" t="s">
        <v>41</v>
      </c>
      <c r="B103" s="2" t="n">
        <v>2</v>
      </c>
      <c r="C103" s="2" t="s">
        <v>30</v>
      </c>
      <c r="D103" s="2" t="s">
        <v>24</v>
      </c>
      <c r="E103" s="2" t="n">
        <v>200</v>
      </c>
      <c r="F103" s="2" t="n">
        <v>1000000</v>
      </c>
      <c r="G103" s="2" t="n">
        <v>1497075</v>
      </c>
      <c r="H103" s="2" t="n">
        <v>1994308</v>
      </c>
      <c r="I103" s="4" t="n">
        <f aca="false">F103/1000</f>
        <v>1000</v>
      </c>
      <c r="J103" s="4" t="n">
        <f aca="false">G103/1000</f>
        <v>1497.075</v>
      </c>
      <c r="K103" s="4" t="n">
        <f aca="false">H103/1000</f>
        <v>1994.308</v>
      </c>
    </row>
    <row r="104" customFormat="false" ht="15" hidden="false" customHeight="false" outlineLevel="0" collapsed="false">
      <c r="A104" s="2" t="s">
        <v>41</v>
      </c>
      <c r="B104" s="2" t="n">
        <v>2</v>
      </c>
      <c r="C104" s="2" t="s">
        <v>30</v>
      </c>
      <c r="D104" s="2" t="s">
        <v>26</v>
      </c>
      <c r="E104" s="2" t="n">
        <v>200</v>
      </c>
      <c r="F104" s="2" t="n">
        <v>1000000</v>
      </c>
      <c r="G104" s="2" t="n">
        <v>1497075</v>
      </c>
      <c r="H104" s="2" t="n">
        <v>1994308</v>
      </c>
      <c r="I104" s="4" t="n">
        <f aca="false">F104/1000</f>
        <v>1000</v>
      </c>
      <c r="J104" s="4" t="n">
        <f aca="false">G104/1000</f>
        <v>1497.075</v>
      </c>
      <c r="K104" s="4" t="n">
        <f aca="false">H104/1000</f>
        <v>1994.308</v>
      </c>
    </row>
    <row r="105" customFormat="false" ht="15" hidden="false" customHeight="false" outlineLevel="0" collapsed="false">
      <c r="A105" s="2" t="s">
        <v>41</v>
      </c>
      <c r="B105" s="2" t="n">
        <v>2</v>
      </c>
      <c r="C105" s="2" t="s">
        <v>30</v>
      </c>
      <c r="D105" s="2" t="s">
        <v>27</v>
      </c>
      <c r="E105" s="2" t="n">
        <v>200</v>
      </c>
      <c r="F105" s="2" t="n">
        <v>179</v>
      </c>
      <c r="G105" s="2" t="n">
        <v>179</v>
      </c>
      <c r="H105" s="2" t="n">
        <v>183</v>
      </c>
      <c r="I105" s="4" t="n">
        <f aca="false">F105/1000</f>
        <v>0.179</v>
      </c>
      <c r="J105" s="4" t="n">
        <f aca="false">G105/1000</f>
        <v>0.179</v>
      </c>
      <c r="K105" s="4" t="n">
        <f aca="false">H105/1000</f>
        <v>0.183</v>
      </c>
    </row>
    <row r="106" customFormat="false" ht="15" hidden="false" customHeight="false" outlineLevel="0" collapsed="false">
      <c r="A106" s="2" t="s">
        <v>41</v>
      </c>
      <c r="B106" s="2" t="n">
        <v>3</v>
      </c>
      <c r="C106" s="2" t="s">
        <v>30</v>
      </c>
      <c r="D106" s="2" t="s">
        <v>24</v>
      </c>
      <c r="E106" s="2" t="n">
        <v>200</v>
      </c>
      <c r="F106" s="2" t="n">
        <v>1000000</v>
      </c>
      <c r="G106" s="2" t="n">
        <v>1497075</v>
      </c>
      <c r="H106" s="2" t="n">
        <v>1994308</v>
      </c>
      <c r="I106" s="4" t="n">
        <f aca="false">F106/1000</f>
        <v>1000</v>
      </c>
      <c r="J106" s="4" t="n">
        <f aca="false">G106/1000</f>
        <v>1497.075</v>
      </c>
      <c r="K106" s="4" t="n">
        <f aca="false">H106/1000</f>
        <v>1994.308</v>
      </c>
    </row>
    <row r="107" customFormat="false" ht="15" hidden="false" customHeight="false" outlineLevel="0" collapsed="false">
      <c r="A107" s="2" t="s">
        <v>41</v>
      </c>
      <c r="B107" s="2" t="n">
        <v>3</v>
      </c>
      <c r="C107" s="2" t="s">
        <v>30</v>
      </c>
      <c r="D107" s="2" t="s">
        <v>26</v>
      </c>
      <c r="E107" s="2" t="n">
        <v>200</v>
      </c>
      <c r="F107" s="2" t="n">
        <v>1000000</v>
      </c>
      <c r="G107" s="2" t="n">
        <v>1497075</v>
      </c>
      <c r="H107" s="2" t="n">
        <v>1994308</v>
      </c>
      <c r="I107" s="4" t="n">
        <f aca="false">F107/1000</f>
        <v>1000</v>
      </c>
      <c r="J107" s="4" t="n">
        <f aca="false">G107/1000</f>
        <v>1497.075</v>
      </c>
      <c r="K107" s="4" t="n">
        <f aca="false">H107/1000</f>
        <v>1994.308</v>
      </c>
    </row>
    <row r="108" customFormat="false" ht="15" hidden="false" customHeight="false" outlineLevel="0" collapsed="false">
      <c r="A108" s="2" t="s">
        <v>41</v>
      </c>
      <c r="B108" s="2" t="n">
        <v>3</v>
      </c>
      <c r="C108" s="2" t="s">
        <v>30</v>
      </c>
      <c r="D108" s="2" t="s">
        <v>27</v>
      </c>
      <c r="E108" s="2" t="n">
        <v>200</v>
      </c>
      <c r="F108" s="2" t="n">
        <v>179</v>
      </c>
      <c r="G108" s="2" t="n">
        <v>179</v>
      </c>
      <c r="H108" s="2" t="n">
        <v>183</v>
      </c>
      <c r="I108" s="4" t="n">
        <f aca="false">F108/1000</f>
        <v>0.179</v>
      </c>
      <c r="J108" s="4" t="n">
        <f aca="false">G108/1000</f>
        <v>0.179</v>
      </c>
      <c r="K108" s="4" t="n">
        <f aca="false">H108/1000</f>
        <v>0.183</v>
      </c>
    </row>
    <row r="109" customFormat="false" ht="15" hidden="false" customHeight="false" outlineLevel="0" collapsed="false">
      <c r="A109" s="2" t="s">
        <v>42</v>
      </c>
      <c r="B109" s="2" t="n">
        <v>1</v>
      </c>
      <c r="C109" s="2" t="s">
        <v>30</v>
      </c>
      <c r="D109" s="2" t="s">
        <v>24</v>
      </c>
      <c r="E109" s="2" t="n">
        <v>80</v>
      </c>
      <c r="F109" s="2" t="n">
        <v>1000004</v>
      </c>
      <c r="G109" s="2" t="n">
        <v>10875058</v>
      </c>
      <c r="H109" s="2" t="n">
        <v>21001508</v>
      </c>
      <c r="I109" s="4" t="n">
        <f aca="false">F109/1000</f>
        <v>1000.004</v>
      </c>
      <c r="J109" s="4" t="n">
        <f aca="false">G109/1000</f>
        <v>10875.058</v>
      </c>
      <c r="K109" s="4" t="n">
        <f aca="false">H109/1000</f>
        <v>21001.508</v>
      </c>
    </row>
    <row r="110" customFormat="false" ht="15" hidden="false" customHeight="false" outlineLevel="0" collapsed="false">
      <c r="A110" s="2" t="s">
        <v>42</v>
      </c>
      <c r="B110" s="2" t="n">
        <v>1</v>
      </c>
      <c r="C110" s="2" t="s">
        <v>30</v>
      </c>
      <c r="D110" s="2" t="s">
        <v>26</v>
      </c>
      <c r="E110" s="2" t="n">
        <v>80</v>
      </c>
      <c r="F110" s="2" t="n">
        <v>1000004</v>
      </c>
      <c r="G110" s="2" t="n">
        <v>10875058</v>
      </c>
      <c r="H110" s="2" t="n">
        <v>21001508</v>
      </c>
      <c r="I110" s="4" t="n">
        <f aca="false">F110/1000</f>
        <v>1000.004</v>
      </c>
      <c r="J110" s="4" t="n">
        <f aca="false">G110/1000</f>
        <v>10875.058</v>
      </c>
      <c r="K110" s="4" t="n">
        <f aca="false">H110/1000</f>
        <v>21001.508</v>
      </c>
    </row>
    <row r="111" customFormat="false" ht="15" hidden="false" customHeight="false" outlineLevel="0" collapsed="false">
      <c r="A111" s="2" t="s">
        <v>42</v>
      </c>
      <c r="B111" s="2" t="n">
        <v>1</v>
      </c>
      <c r="C111" s="2" t="s">
        <v>30</v>
      </c>
      <c r="D111" s="2" t="s">
        <v>27</v>
      </c>
      <c r="E111" s="2" t="n">
        <v>80</v>
      </c>
      <c r="F111" s="2" t="n">
        <v>179</v>
      </c>
      <c r="G111" s="2" t="n">
        <v>179</v>
      </c>
      <c r="H111" s="2" t="n">
        <v>183</v>
      </c>
      <c r="I111" s="4" t="n">
        <f aca="false">F111/1000</f>
        <v>0.179</v>
      </c>
      <c r="J111" s="4" t="n">
        <f aca="false">G111/1000</f>
        <v>0.179</v>
      </c>
      <c r="K111" s="4" t="n">
        <f aca="false">H111/1000</f>
        <v>0.183</v>
      </c>
    </row>
    <row r="112" customFormat="false" ht="15" hidden="false" customHeight="false" outlineLevel="0" collapsed="false">
      <c r="A112" s="2" t="s">
        <v>42</v>
      </c>
      <c r="B112" s="2" t="n">
        <v>2</v>
      </c>
      <c r="C112" s="2" t="s">
        <v>30</v>
      </c>
      <c r="D112" s="2" t="s">
        <v>24</v>
      </c>
      <c r="E112" s="2" t="n">
        <v>80</v>
      </c>
      <c r="F112" s="2" t="n">
        <v>1000004</v>
      </c>
      <c r="G112" s="2" t="n">
        <v>10875058</v>
      </c>
      <c r="H112" s="2" t="n">
        <v>21001508</v>
      </c>
      <c r="I112" s="4" t="n">
        <f aca="false">F112/1000</f>
        <v>1000.004</v>
      </c>
      <c r="J112" s="4" t="n">
        <f aca="false">G112/1000</f>
        <v>10875.058</v>
      </c>
      <c r="K112" s="4" t="n">
        <f aca="false">H112/1000</f>
        <v>21001.508</v>
      </c>
    </row>
    <row r="113" customFormat="false" ht="15" hidden="false" customHeight="false" outlineLevel="0" collapsed="false">
      <c r="A113" s="2" t="s">
        <v>42</v>
      </c>
      <c r="B113" s="2" t="n">
        <v>2</v>
      </c>
      <c r="C113" s="2" t="s">
        <v>30</v>
      </c>
      <c r="D113" s="2" t="s">
        <v>26</v>
      </c>
      <c r="E113" s="2" t="n">
        <v>80</v>
      </c>
      <c r="F113" s="2" t="n">
        <v>1000004</v>
      </c>
      <c r="G113" s="2" t="n">
        <v>10875058</v>
      </c>
      <c r="H113" s="2" t="n">
        <v>21001508</v>
      </c>
      <c r="I113" s="4" t="n">
        <f aca="false">F113/1000</f>
        <v>1000.004</v>
      </c>
      <c r="J113" s="4" t="n">
        <f aca="false">G113/1000</f>
        <v>10875.058</v>
      </c>
      <c r="K113" s="4" t="n">
        <f aca="false">H113/1000</f>
        <v>21001.508</v>
      </c>
    </row>
    <row r="114" customFormat="false" ht="15" hidden="false" customHeight="false" outlineLevel="0" collapsed="false">
      <c r="A114" s="2" t="s">
        <v>42</v>
      </c>
      <c r="B114" s="2" t="n">
        <v>2</v>
      </c>
      <c r="C114" s="2" t="s">
        <v>30</v>
      </c>
      <c r="D114" s="2" t="s">
        <v>27</v>
      </c>
      <c r="E114" s="2" t="n">
        <v>80</v>
      </c>
      <c r="F114" s="2" t="n">
        <v>179</v>
      </c>
      <c r="G114" s="2" t="n">
        <v>179</v>
      </c>
      <c r="H114" s="2" t="n">
        <v>183</v>
      </c>
      <c r="I114" s="4" t="n">
        <f aca="false">F114/1000</f>
        <v>0.179</v>
      </c>
      <c r="J114" s="4" t="n">
        <f aca="false">G114/1000</f>
        <v>0.179</v>
      </c>
      <c r="K114" s="4" t="n">
        <f aca="false">H114/1000</f>
        <v>0.183</v>
      </c>
    </row>
    <row r="115" customFormat="false" ht="15" hidden="false" customHeight="false" outlineLevel="0" collapsed="false">
      <c r="A115" s="2" t="s">
        <v>42</v>
      </c>
      <c r="B115" s="2" t="n">
        <v>3</v>
      </c>
      <c r="C115" s="2" t="s">
        <v>30</v>
      </c>
      <c r="D115" s="2" t="s">
        <v>24</v>
      </c>
      <c r="E115" s="2" t="n">
        <v>80</v>
      </c>
      <c r="F115" s="2" t="n">
        <v>1000004</v>
      </c>
      <c r="G115" s="2" t="n">
        <v>10875058</v>
      </c>
      <c r="H115" s="2" t="n">
        <v>21001508</v>
      </c>
      <c r="I115" s="4" t="n">
        <f aca="false">F115/1000</f>
        <v>1000.004</v>
      </c>
      <c r="J115" s="4" t="n">
        <f aca="false">G115/1000</f>
        <v>10875.058</v>
      </c>
      <c r="K115" s="4" t="n">
        <f aca="false">H115/1000</f>
        <v>21001.508</v>
      </c>
    </row>
    <row r="116" customFormat="false" ht="15" hidden="false" customHeight="false" outlineLevel="0" collapsed="false">
      <c r="A116" s="2" t="s">
        <v>42</v>
      </c>
      <c r="B116" s="2" t="n">
        <v>3</v>
      </c>
      <c r="C116" s="2" t="s">
        <v>30</v>
      </c>
      <c r="D116" s="2" t="s">
        <v>26</v>
      </c>
      <c r="E116" s="2" t="n">
        <v>80</v>
      </c>
      <c r="F116" s="2" t="n">
        <v>1000004</v>
      </c>
      <c r="G116" s="2" t="n">
        <v>10875058</v>
      </c>
      <c r="H116" s="2" t="n">
        <v>21001508</v>
      </c>
      <c r="I116" s="4" t="n">
        <f aca="false">F116/1000</f>
        <v>1000.004</v>
      </c>
      <c r="J116" s="4" t="n">
        <f aca="false">G116/1000</f>
        <v>10875.058</v>
      </c>
      <c r="K116" s="4" t="n">
        <f aca="false">H116/1000</f>
        <v>21001.508</v>
      </c>
    </row>
    <row r="117" customFormat="false" ht="15" hidden="false" customHeight="false" outlineLevel="0" collapsed="false">
      <c r="A117" s="2" t="s">
        <v>42</v>
      </c>
      <c r="B117" s="2" t="n">
        <v>3</v>
      </c>
      <c r="C117" s="2" t="s">
        <v>30</v>
      </c>
      <c r="D117" s="2" t="s">
        <v>27</v>
      </c>
      <c r="E117" s="2" t="n">
        <v>80</v>
      </c>
      <c r="F117" s="2" t="n">
        <v>179</v>
      </c>
      <c r="G117" s="2" t="n">
        <v>179</v>
      </c>
      <c r="H117" s="2" t="n">
        <v>183</v>
      </c>
      <c r="I117" s="4" t="n">
        <f aca="false">F117/1000</f>
        <v>0.179</v>
      </c>
      <c r="J117" s="4" t="n">
        <f aca="false">G117/1000</f>
        <v>0.179</v>
      </c>
      <c r="K117" s="4" t="n">
        <f aca="false">H117/1000</f>
        <v>0.183</v>
      </c>
    </row>
    <row r="118" customFormat="false" ht="15" hidden="false" customHeight="false" outlineLevel="0" collapsed="false">
      <c r="A118" s="2" t="s">
        <v>43</v>
      </c>
      <c r="B118" s="2" t="n">
        <v>1</v>
      </c>
      <c r="C118" s="2" t="s">
        <v>30</v>
      </c>
      <c r="D118" s="2" t="s">
        <v>24</v>
      </c>
      <c r="E118" s="2" t="n">
        <v>23</v>
      </c>
      <c r="F118" s="2" t="n">
        <v>1000000</v>
      </c>
      <c r="G118" s="2" t="n">
        <v>3391504</v>
      </c>
      <c r="H118" s="2" t="n">
        <v>6001516</v>
      </c>
      <c r="I118" s="4" t="n">
        <f aca="false">F118/1000</f>
        <v>1000</v>
      </c>
      <c r="J118" s="4" t="n">
        <f aca="false">G118/1000</f>
        <v>3391.504</v>
      </c>
      <c r="K118" s="4" t="n">
        <f aca="false">H118/1000</f>
        <v>6001.516</v>
      </c>
    </row>
    <row r="119" customFormat="false" ht="15" hidden="false" customHeight="false" outlineLevel="0" collapsed="false">
      <c r="A119" s="2" t="s">
        <v>43</v>
      </c>
      <c r="B119" s="2" t="n">
        <v>1</v>
      </c>
      <c r="C119" s="2" t="s">
        <v>30</v>
      </c>
      <c r="D119" s="2" t="s">
        <v>26</v>
      </c>
      <c r="E119" s="2" t="n">
        <v>23</v>
      </c>
      <c r="F119" s="2" t="n">
        <v>1000000</v>
      </c>
      <c r="G119" s="2" t="n">
        <v>3391504</v>
      </c>
      <c r="H119" s="2" t="n">
        <v>6001516</v>
      </c>
      <c r="I119" s="4" t="n">
        <f aca="false">F119/1000</f>
        <v>1000</v>
      </c>
      <c r="J119" s="4" t="n">
        <f aca="false">G119/1000</f>
        <v>3391.504</v>
      </c>
      <c r="K119" s="4" t="n">
        <f aca="false">H119/1000</f>
        <v>6001.516</v>
      </c>
    </row>
    <row r="120" customFormat="false" ht="15" hidden="false" customHeight="false" outlineLevel="0" collapsed="false">
      <c r="A120" s="2" t="s">
        <v>43</v>
      </c>
      <c r="B120" s="2" t="n">
        <v>1</v>
      </c>
      <c r="C120" s="2" t="s">
        <v>30</v>
      </c>
      <c r="D120" s="2" t="s">
        <v>27</v>
      </c>
      <c r="E120" s="2" t="n">
        <v>23</v>
      </c>
      <c r="F120" s="2" t="n">
        <v>179</v>
      </c>
      <c r="G120" s="2" t="n">
        <v>179</v>
      </c>
      <c r="H120" s="2" t="n">
        <v>183</v>
      </c>
      <c r="I120" s="4" t="n">
        <f aca="false">F120/1000</f>
        <v>0.179</v>
      </c>
      <c r="J120" s="4" t="n">
        <f aca="false">G120/1000</f>
        <v>0.179</v>
      </c>
      <c r="K120" s="4" t="n">
        <f aca="false">H120/1000</f>
        <v>0.183</v>
      </c>
    </row>
    <row r="121" customFormat="false" ht="15" hidden="false" customHeight="false" outlineLevel="0" collapsed="false">
      <c r="A121" s="2" t="s">
        <v>43</v>
      </c>
      <c r="B121" s="2" t="n">
        <v>2</v>
      </c>
      <c r="C121" s="2" t="s">
        <v>30</v>
      </c>
      <c r="D121" s="2" t="s">
        <v>24</v>
      </c>
      <c r="E121" s="2" t="n">
        <v>23</v>
      </c>
      <c r="F121" s="2" t="n">
        <v>1000000</v>
      </c>
      <c r="G121" s="2" t="n">
        <v>3391504</v>
      </c>
      <c r="H121" s="2" t="n">
        <v>6001516</v>
      </c>
      <c r="I121" s="4" t="n">
        <f aca="false">F121/1000</f>
        <v>1000</v>
      </c>
      <c r="J121" s="4" t="n">
        <f aca="false">G121/1000</f>
        <v>3391.504</v>
      </c>
      <c r="K121" s="4" t="n">
        <f aca="false">H121/1000</f>
        <v>6001.516</v>
      </c>
    </row>
    <row r="122" customFormat="false" ht="15" hidden="false" customHeight="false" outlineLevel="0" collapsed="false">
      <c r="A122" s="2" t="s">
        <v>43</v>
      </c>
      <c r="B122" s="2" t="n">
        <v>2</v>
      </c>
      <c r="C122" s="2" t="s">
        <v>30</v>
      </c>
      <c r="D122" s="2" t="s">
        <v>26</v>
      </c>
      <c r="E122" s="2" t="n">
        <v>23</v>
      </c>
      <c r="F122" s="2" t="n">
        <v>1000000</v>
      </c>
      <c r="G122" s="2" t="n">
        <v>3391504</v>
      </c>
      <c r="H122" s="2" t="n">
        <v>6001516</v>
      </c>
      <c r="I122" s="4" t="n">
        <f aca="false">F122/1000</f>
        <v>1000</v>
      </c>
      <c r="J122" s="4" t="n">
        <f aca="false">G122/1000</f>
        <v>3391.504</v>
      </c>
      <c r="K122" s="4" t="n">
        <f aca="false">H122/1000</f>
        <v>6001.516</v>
      </c>
    </row>
    <row r="123" customFormat="false" ht="15" hidden="false" customHeight="false" outlineLevel="0" collapsed="false">
      <c r="A123" s="2" t="s">
        <v>43</v>
      </c>
      <c r="B123" s="2" t="n">
        <v>2</v>
      </c>
      <c r="C123" s="2" t="s">
        <v>30</v>
      </c>
      <c r="D123" s="2" t="s">
        <v>27</v>
      </c>
      <c r="E123" s="2" t="n">
        <v>23</v>
      </c>
      <c r="F123" s="2" t="n">
        <v>179</v>
      </c>
      <c r="G123" s="2" t="n">
        <v>179</v>
      </c>
      <c r="H123" s="2" t="n">
        <v>183</v>
      </c>
      <c r="I123" s="4" t="n">
        <f aca="false">F123/1000</f>
        <v>0.179</v>
      </c>
      <c r="J123" s="4" t="n">
        <f aca="false">G123/1000</f>
        <v>0.179</v>
      </c>
      <c r="K123" s="4" t="n">
        <f aca="false">H123/1000</f>
        <v>0.183</v>
      </c>
    </row>
    <row r="124" customFormat="false" ht="15" hidden="false" customHeight="false" outlineLevel="0" collapsed="false">
      <c r="A124" s="2" t="s">
        <v>43</v>
      </c>
      <c r="B124" s="2" t="n">
        <v>3</v>
      </c>
      <c r="C124" s="2" t="s">
        <v>30</v>
      </c>
      <c r="D124" s="2" t="s">
        <v>24</v>
      </c>
      <c r="E124" s="2" t="n">
        <v>23</v>
      </c>
      <c r="F124" s="2" t="n">
        <v>1000000</v>
      </c>
      <c r="G124" s="2" t="n">
        <v>3391504</v>
      </c>
      <c r="H124" s="2" t="n">
        <v>6001516</v>
      </c>
      <c r="I124" s="4" t="n">
        <f aca="false">F124/1000</f>
        <v>1000</v>
      </c>
      <c r="J124" s="4" t="n">
        <f aca="false">G124/1000</f>
        <v>3391.504</v>
      </c>
      <c r="K124" s="4" t="n">
        <f aca="false">H124/1000</f>
        <v>6001.516</v>
      </c>
    </row>
    <row r="125" customFormat="false" ht="15" hidden="false" customHeight="false" outlineLevel="0" collapsed="false">
      <c r="A125" s="2" t="s">
        <v>43</v>
      </c>
      <c r="B125" s="2" t="n">
        <v>3</v>
      </c>
      <c r="C125" s="2" t="s">
        <v>30</v>
      </c>
      <c r="D125" s="2" t="s">
        <v>26</v>
      </c>
      <c r="E125" s="2" t="n">
        <v>23</v>
      </c>
      <c r="F125" s="2" t="n">
        <v>1000000</v>
      </c>
      <c r="G125" s="2" t="n">
        <v>3391504</v>
      </c>
      <c r="H125" s="2" t="n">
        <v>6001516</v>
      </c>
      <c r="I125" s="4" t="n">
        <f aca="false">F125/1000</f>
        <v>1000</v>
      </c>
      <c r="J125" s="4" t="n">
        <f aca="false">G125/1000</f>
        <v>3391.504</v>
      </c>
      <c r="K125" s="4" t="n">
        <f aca="false">H125/1000</f>
        <v>6001.516</v>
      </c>
    </row>
    <row r="126" customFormat="false" ht="15" hidden="false" customHeight="false" outlineLevel="0" collapsed="false">
      <c r="A126" s="2" t="s">
        <v>43</v>
      </c>
      <c r="B126" s="2" t="n">
        <v>3</v>
      </c>
      <c r="C126" s="2" t="s">
        <v>30</v>
      </c>
      <c r="D126" s="2" t="s">
        <v>27</v>
      </c>
      <c r="E126" s="2" t="n">
        <v>23</v>
      </c>
      <c r="F126" s="2" t="n">
        <v>179</v>
      </c>
      <c r="G126" s="2" t="n">
        <v>179</v>
      </c>
      <c r="H126" s="2" t="n">
        <v>183</v>
      </c>
      <c r="I126" s="4" t="n">
        <f aca="false">F126/1000</f>
        <v>0.179</v>
      </c>
      <c r="J126" s="4" t="n">
        <f aca="false">G126/1000</f>
        <v>0.179</v>
      </c>
      <c r="K126" s="4" t="n">
        <f aca="false">H126/1000</f>
        <v>0.183</v>
      </c>
    </row>
    <row r="127" customFormat="false" ht="15" hidden="false" customHeight="false" outlineLevel="0" collapsed="false">
      <c r="A127" s="2" t="s">
        <v>44</v>
      </c>
      <c r="B127" s="2" t="n">
        <v>1</v>
      </c>
      <c r="C127" s="2" t="s">
        <v>30</v>
      </c>
      <c r="D127" s="2" t="s">
        <v>24</v>
      </c>
      <c r="E127" s="2" t="n">
        <v>200</v>
      </c>
      <c r="F127" s="2" t="n">
        <v>1000000</v>
      </c>
      <c r="G127" s="2" t="n">
        <v>3478979</v>
      </c>
      <c r="H127" s="2" t="n">
        <v>5994308</v>
      </c>
      <c r="I127" s="4" t="n">
        <f aca="false">F127/1000</f>
        <v>1000</v>
      </c>
      <c r="J127" s="4" t="n">
        <f aca="false">G127/1000</f>
        <v>3478.979</v>
      </c>
      <c r="K127" s="4" t="n">
        <f aca="false">H127/1000</f>
        <v>5994.308</v>
      </c>
    </row>
    <row r="128" customFormat="false" ht="15" hidden="false" customHeight="false" outlineLevel="0" collapsed="false">
      <c r="A128" s="2" t="s">
        <v>44</v>
      </c>
      <c r="B128" s="2" t="n">
        <v>1</v>
      </c>
      <c r="C128" s="2" t="s">
        <v>30</v>
      </c>
      <c r="D128" s="2" t="s">
        <v>26</v>
      </c>
      <c r="E128" s="2" t="n">
        <v>200</v>
      </c>
      <c r="F128" s="2" t="n">
        <v>1000000</v>
      </c>
      <c r="G128" s="2" t="n">
        <v>3478979</v>
      </c>
      <c r="H128" s="2" t="n">
        <v>5994308</v>
      </c>
      <c r="I128" s="4" t="n">
        <f aca="false">F128/1000</f>
        <v>1000</v>
      </c>
      <c r="J128" s="4" t="n">
        <f aca="false">G128/1000</f>
        <v>3478.979</v>
      </c>
      <c r="K128" s="4" t="n">
        <f aca="false">H128/1000</f>
        <v>5994.308</v>
      </c>
    </row>
    <row r="129" customFormat="false" ht="15" hidden="false" customHeight="false" outlineLevel="0" collapsed="false">
      <c r="A129" s="2" t="s">
        <v>44</v>
      </c>
      <c r="B129" s="2" t="n">
        <v>1</v>
      </c>
      <c r="C129" s="2" t="s">
        <v>30</v>
      </c>
      <c r="D129" s="2" t="s">
        <v>27</v>
      </c>
      <c r="E129" s="2" t="n">
        <v>200</v>
      </c>
      <c r="F129" s="2" t="n">
        <v>179</v>
      </c>
      <c r="G129" s="2" t="n">
        <v>179</v>
      </c>
      <c r="H129" s="2" t="n">
        <v>183</v>
      </c>
      <c r="I129" s="4" t="n">
        <f aca="false">F129/1000</f>
        <v>0.179</v>
      </c>
      <c r="J129" s="4" t="n">
        <f aca="false">G129/1000</f>
        <v>0.179</v>
      </c>
      <c r="K129" s="4" t="n">
        <f aca="false">H129/1000</f>
        <v>0.183</v>
      </c>
    </row>
    <row r="130" customFormat="false" ht="15" hidden="false" customHeight="false" outlineLevel="0" collapsed="false">
      <c r="A130" s="2" t="s">
        <v>44</v>
      </c>
      <c r="B130" s="2" t="n">
        <v>2</v>
      </c>
      <c r="C130" s="2" t="s">
        <v>30</v>
      </c>
      <c r="D130" s="2" t="s">
        <v>24</v>
      </c>
      <c r="E130" s="2" t="n">
        <v>200</v>
      </c>
      <c r="F130" s="2" t="n">
        <v>1000000</v>
      </c>
      <c r="G130" s="2" t="n">
        <v>3478979</v>
      </c>
      <c r="H130" s="2" t="n">
        <v>5994308</v>
      </c>
      <c r="I130" s="4" t="n">
        <f aca="false">F130/1000</f>
        <v>1000</v>
      </c>
      <c r="J130" s="4" t="n">
        <f aca="false">G130/1000</f>
        <v>3478.979</v>
      </c>
      <c r="K130" s="4" t="n">
        <f aca="false">H130/1000</f>
        <v>5994.308</v>
      </c>
    </row>
    <row r="131" customFormat="false" ht="15" hidden="false" customHeight="false" outlineLevel="0" collapsed="false">
      <c r="A131" s="2" t="s">
        <v>44</v>
      </c>
      <c r="B131" s="2" t="n">
        <v>2</v>
      </c>
      <c r="C131" s="2" t="s">
        <v>30</v>
      </c>
      <c r="D131" s="2" t="s">
        <v>26</v>
      </c>
      <c r="E131" s="2" t="n">
        <v>200</v>
      </c>
      <c r="F131" s="2" t="n">
        <v>1000000</v>
      </c>
      <c r="G131" s="2" t="n">
        <v>3478979</v>
      </c>
      <c r="H131" s="2" t="n">
        <v>5994308</v>
      </c>
      <c r="I131" s="4" t="n">
        <f aca="false">F131/1000</f>
        <v>1000</v>
      </c>
      <c r="J131" s="4" t="n">
        <f aca="false">G131/1000</f>
        <v>3478.979</v>
      </c>
      <c r="K131" s="4" t="n">
        <f aca="false">H131/1000</f>
        <v>5994.308</v>
      </c>
    </row>
    <row r="132" customFormat="false" ht="15" hidden="false" customHeight="false" outlineLevel="0" collapsed="false">
      <c r="A132" s="2" t="s">
        <v>44</v>
      </c>
      <c r="B132" s="2" t="n">
        <v>2</v>
      </c>
      <c r="C132" s="2" t="s">
        <v>30</v>
      </c>
      <c r="D132" s="2" t="s">
        <v>27</v>
      </c>
      <c r="E132" s="2" t="n">
        <v>200</v>
      </c>
      <c r="F132" s="2" t="n">
        <v>179</v>
      </c>
      <c r="G132" s="2" t="n">
        <v>179</v>
      </c>
      <c r="H132" s="2" t="n">
        <v>183</v>
      </c>
      <c r="I132" s="4" t="n">
        <f aca="false">F132/1000</f>
        <v>0.179</v>
      </c>
      <c r="J132" s="4" t="n">
        <f aca="false">G132/1000</f>
        <v>0.179</v>
      </c>
      <c r="K132" s="4" t="n">
        <f aca="false">H132/1000</f>
        <v>0.183</v>
      </c>
    </row>
    <row r="133" customFormat="false" ht="15" hidden="false" customHeight="false" outlineLevel="0" collapsed="false">
      <c r="A133" s="2" t="s">
        <v>44</v>
      </c>
      <c r="B133" s="2" t="n">
        <v>3</v>
      </c>
      <c r="C133" s="2" t="s">
        <v>30</v>
      </c>
      <c r="D133" s="2" t="s">
        <v>24</v>
      </c>
      <c r="E133" s="2" t="n">
        <v>200</v>
      </c>
      <c r="F133" s="2" t="n">
        <v>1000000</v>
      </c>
      <c r="G133" s="2" t="n">
        <v>3478979</v>
      </c>
      <c r="H133" s="2" t="n">
        <v>5994308</v>
      </c>
      <c r="I133" s="4" t="n">
        <f aca="false">F133/1000</f>
        <v>1000</v>
      </c>
      <c r="J133" s="4" t="n">
        <f aca="false">G133/1000</f>
        <v>3478.979</v>
      </c>
      <c r="K133" s="4" t="n">
        <f aca="false">H133/1000</f>
        <v>5994.308</v>
      </c>
    </row>
    <row r="134" customFormat="false" ht="15" hidden="false" customHeight="false" outlineLevel="0" collapsed="false">
      <c r="A134" s="2" t="s">
        <v>44</v>
      </c>
      <c r="B134" s="2" t="n">
        <v>3</v>
      </c>
      <c r="C134" s="2" t="s">
        <v>30</v>
      </c>
      <c r="D134" s="2" t="s">
        <v>26</v>
      </c>
      <c r="E134" s="2" t="n">
        <v>200</v>
      </c>
      <c r="F134" s="2" t="n">
        <v>1000000</v>
      </c>
      <c r="G134" s="2" t="n">
        <v>3478979</v>
      </c>
      <c r="H134" s="2" t="n">
        <v>5994308</v>
      </c>
      <c r="I134" s="4" t="n">
        <f aca="false">F134/1000</f>
        <v>1000</v>
      </c>
      <c r="J134" s="4" t="n">
        <f aca="false">G134/1000</f>
        <v>3478.979</v>
      </c>
      <c r="K134" s="4" t="n">
        <f aca="false">H134/1000</f>
        <v>5994.308</v>
      </c>
    </row>
    <row r="135" customFormat="false" ht="15" hidden="false" customHeight="false" outlineLevel="0" collapsed="false">
      <c r="A135" s="2" t="s">
        <v>44</v>
      </c>
      <c r="B135" s="2" t="n">
        <v>3</v>
      </c>
      <c r="C135" s="2" t="s">
        <v>30</v>
      </c>
      <c r="D135" s="2" t="s">
        <v>27</v>
      </c>
      <c r="E135" s="2" t="n">
        <v>200</v>
      </c>
      <c r="F135" s="2" t="n">
        <v>179</v>
      </c>
      <c r="G135" s="2" t="n">
        <v>179</v>
      </c>
      <c r="H135" s="2" t="n">
        <v>183</v>
      </c>
      <c r="I135" s="4" t="n">
        <f aca="false">F135/1000</f>
        <v>0.179</v>
      </c>
      <c r="J135" s="4" t="n">
        <f aca="false">G135/1000</f>
        <v>0.179</v>
      </c>
      <c r="K135" s="4" t="n">
        <f aca="false">H135/1000</f>
        <v>0.183</v>
      </c>
    </row>
    <row r="136" customFormat="false" ht="15" hidden="false" customHeight="false" outlineLevel="0" collapsed="false">
      <c r="A136" s="2" t="s">
        <v>45</v>
      </c>
      <c r="B136" s="2" t="n">
        <v>1</v>
      </c>
      <c r="C136" s="2" t="s">
        <v>30</v>
      </c>
      <c r="D136" s="2" t="s">
        <v>24</v>
      </c>
      <c r="E136" s="2" t="n">
        <v>200</v>
      </c>
      <c r="F136" s="2" t="n">
        <v>1000004</v>
      </c>
      <c r="G136" s="2" t="n">
        <v>3479229</v>
      </c>
      <c r="H136" s="2" t="n">
        <v>5995820</v>
      </c>
      <c r="I136" s="4" t="n">
        <f aca="false">F136/1000</f>
        <v>1000.004</v>
      </c>
      <c r="J136" s="4" t="n">
        <f aca="false">G136/1000</f>
        <v>3479.229</v>
      </c>
      <c r="K136" s="4" t="n">
        <f aca="false">H136/1000</f>
        <v>5995.82</v>
      </c>
    </row>
    <row r="137" customFormat="false" ht="15" hidden="false" customHeight="false" outlineLevel="0" collapsed="false">
      <c r="A137" s="2" t="s">
        <v>45</v>
      </c>
      <c r="B137" s="2" t="n">
        <v>1</v>
      </c>
      <c r="C137" s="2" t="s">
        <v>30</v>
      </c>
      <c r="D137" s="2" t="s">
        <v>26</v>
      </c>
      <c r="E137" s="2" t="n">
        <v>200</v>
      </c>
      <c r="F137" s="2" t="n">
        <v>1000004</v>
      </c>
      <c r="G137" s="2" t="n">
        <v>3479229</v>
      </c>
      <c r="H137" s="2" t="n">
        <v>5995820</v>
      </c>
      <c r="I137" s="4" t="n">
        <f aca="false">F137/1000</f>
        <v>1000.004</v>
      </c>
      <c r="J137" s="4" t="n">
        <f aca="false">G137/1000</f>
        <v>3479.229</v>
      </c>
      <c r="K137" s="4" t="n">
        <f aca="false">H137/1000</f>
        <v>5995.82</v>
      </c>
    </row>
    <row r="138" customFormat="false" ht="15" hidden="false" customHeight="false" outlineLevel="0" collapsed="false">
      <c r="A138" s="2" t="s">
        <v>45</v>
      </c>
      <c r="B138" s="2" t="n">
        <v>1</v>
      </c>
      <c r="C138" s="2" t="s">
        <v>30</v>
      </c>
      <c r="D138" s="2" t="s">
        <v>27</v>
      </c>
      <c r="E138" s="2" t="n">
        <v>200</v>
      </c>
      <c r="F138" s="2" t="n">
        <v>179</v>
      </c>
      <c r="G138" s="2" t="n">
        <v>179</v>
      </c>
      <c r="H138" s="2" t="n">
        <v>183</v>
      </c>
      <c r="I138" s="4" t="n">
        <f aca="false">F138/1000</f>
        <v>0.179</v>
      </c>
      <c r="J138" s="4" t="n">
        <f aca="false">G138/1000</f>
        <v>0.179</v>
      </c>
      <c r="K138" s="4" t="n">
        <f aca="false">H138/1000</f>
        <v>0.183</v>
      </c>
    </row>
    <row r="139" customFormat="false" ht="15" hidden="false" customHeight="false" outlineLevel="0" collapsed="false">
      <c r="A139" s="2" t="s">
        <v>45</v>
      </c>
      <c r="B139" s="2" t="n">
        <v>2</v>
      </c>
      <c r="C139" s="2" t="s">
        <v>30</v>
      </c>
      <c r="D139" s="2" t="s">
        <v>24</v>
      </c>
      <c r="E139" s="2" t="n">
        <v>200</v>
      </c>
      <c r="F139" s="2" t="n">
        <v>1000004</v>
      </c>
      <c r="G139" s="2" t="n">
        <v>3479229</v>
      </c>
      <c r="H139" s="2" t="n">
        <v>5995820</v>
      </c>
      <c r="I139" s="4" t="n">
        <f aca="false">F139/1000</f>
        <v>1000.004</v>
      </c>
      <c r="J139" s="4" t="n">
        <f aca="false">G139/1000</f>
        <v>3479.229</v>
      </c>
      <c r="K139" s="4" t="n">
        <f aca="false">H139/1000</f>
        <v>5995.82</v>
      </c>
    </row>
    <row r="140" customFormat="false" ht="15" hidden="false" customHeight="false" outlineLevel="0" collapsed="false">
      <c r="A140" s="2" t="s">
        <v>45</v>
      </c>
      <c r="B140" s="2" t="n">
        <v>2</v>
      </c>
      <c r="C140" s="2" t="s">
        <v>30</v>
      </c>
      <c r="D140" s="2" t="s">
        <v>26</v>
      </c>
      <c r="E140" s="2" t="n">
        <v>200</v>
      </c>
      <c r="F140" s="2" t="n">
        <v>1000004</v>
      </c>
      <c r="G140" s="2" t="n">
        <v>3479229</v>
      </c>
      <c r="H140" s="2" t="n">
        <v>5995820</v>
      </c>
      <c r="I140" s="4" t="n">
        <f aca="false">F140/1000</f>
        <v>1000.004</v>
      </c>
      <c r="J140" s="4" t="n">
        <f aca="false">G140/1000</f>
        <v>3479.229</v>
      </c>
      <c r="K140" s="4" t="n">
        <f aca="false">H140/1000</f>
        <v>5995.82</v>
      </c>
    </row>
    <row r="141" customFormat="false" ht="15" hidden="false" customHeight="false" outlineLevel="0" collapsed="false">
      <c r="A141" s="2" t="s">
        <v>45</v>
      </c>
      <c r="B141" s="2" t="n">
        <v>2</v>
      </c>
      <c r="C141" s="2" t="s">
        <v>30</v>
      </c>
      <c r="D141" s="2" t="s">
        <v>27</v>
      </c>
      <c r="E141" s="2" t="n">
        <v>200</v>
      </c>
      <c r="F141" s="2" t="n">
        <v>179</v>
      </c>
      <c r="G141" s="2" t="n">
        <v>179</v>
      </c>
      <c r="H141" s="2" t="n">
        <v>183</v>
      </c>
      <c r="I141" s="4" t="n">
        <f aca="false">F141/1000</f>
        <v>0.179</v>
      </c>
      <c r="J141" s="4" t="n">
        <f aca="false">G141/1000</f>
        <v>0.179</v>
      </c>
      <c r="K141" s="4" t="n">
        <f aca="false">H141/1000</f>
        <v>0.183</v>
      </c>
    </row>
    <row r="142" customFormat="false" ht="15" hidden="false" customHeight="false" outlineLevel="0" collapsed="false">
      <c r="A142" s="2" t="s">
        <v>45</v>
      </c>
      <c r="B142" s="2" t="n">
        <v>3</v>
      </c>
      <c r="C142" s="2" t="s">
        <v>30</v>
      </c>
      <c r="D142" s="2" t="s">
        <v>24</v>
      </c>
      <c r="E142" s="2" t="n">
        <v>200</v>
      </c>
      <c r="F142" s="2" t="n">
        <v>1000004</v>
      </c>
      <c r="G142" s="2" t="n">
        <v>3479229</v>
      </c>
      <c r="H142" s="2" t="n">
        <v>5995820</v>
      </c>
      <c r="I142" s="4" t="n">
        <f aca="false">F142/1000</f>
        <v>1000.004</v>
      </c>
      <c r="J142" s="4" t="n">
        <f aca="false">G142/1000</f>
        <v>3479.229</v>
      </c>
      <c r="K142" s="4" t="n">
        <f aca="false">H142/1000</f>
        <v>5995.82</v>
      </c>
    </row>
    <row r="143" customFormat="false" ht="15" hidden="false" customHeight="false" outlineLevel="0" collapsed="false">
      <c r="A143" s="2" t="s">
        <v>45</v>
      </c>
      <c r="B143" s="2" t="n">
        <v>3</v>
      </c>
      <c r="C143" s="2" t="s">
        <v>30</v>
      </c>
      <c r="D143" s="2" t="s">
        <v>26</v>
      </c>
      <c r="E143" s="2" t="n">
        <v>200</v>
      </c>
      <c r="F143" s="2" t="n">
        <v>1000004</v>
      </c>
      <c r="G143" s="2" t="n">
        <v>3479229</v>
      </c>
      <c r="H143" s="2" t="n">
        <v>5995820</v>
      </c>
      <c r="I143" s="4" t="n">
        <f aca="false">F143/1000</f>
        <v>1000.004</v>
      </c>
      <c r="J143" s="4" t="n">
        <f aca="false">G143/1000</f>
        <v>3479.229</v>
      </c>
      <c r="K143" s="4" t="n">
        <f aca="false">H143/1000</f>
        <v>5995.82</v>
      </c>
    </row>
    <row r="144" customFormat="false" ht="15" hidden="false" customHeight="false" outlineLevel="0" collapsed="false">
      <c r="A144" s="2" t="s">
        <v>45</v>
      </c>
      <c r="B144" s="2" t="n">
        <v>3</v>
      </c>
      <c r="C144" s="2" t="s">
        <v>30</v>
      </c>
      <c r="D144" s="2" t="s">
        <v>27</v>
      </c>
      <c r="E144" s="2" t="n">
        <v>200</v>
      </c>
      <c r="F144" s="2" t="n">
        <v>179</v>
      </c>
      <c r="G144" s="2" t="n">
        <v>179</v>
      </c>
      <c r="H144" s="2" t="n">
        <v>183</v>
      </c>
      <c r="I144" s="4" t="n">
        <f aca="false">F144/1000</f>
        <v>0.179</v>
      </c>
      <c r="J144" s="4" t="n">
        <f aca="false">G144/1000</f>
        <v>0.179</v>
      </c>
      <c r="K144" s="4" t="n">
        <f aca="false">H144/1000</f>
        <v>0.183</v>
      </c>
    </row>
    <row r="145" customFormat="false" ht="15" hidden="false" customHeight="false" outlineLevel="0" collapsed="false">
      <c r="A145" s="2" t="s">
        <v>46</v>
      </c>
      <c r="B145" s="2" t="n">
        <v>1</v>
      </c>
      <c r="C145" s="2" t="s">
        <v>23</v>
      </c>
      <c r="D145" s="2" t="s">
        <v>24</v>
      </c>
      <c r="E145" s="2" t="n">
        <v>200</v>
      </c>
      <c r="F145" s="2" t="n">
        <v>1104</v>
      </c>
      <c r="G145" s="2" t="n">
        <v>1104</v>
      </c>
      <c r="H145" s="2" t="n">
        <v>1104</v>
      </c>
      <c r="I145" s="4" t="n">
        <f aca="false">F145/1000</f>
        <v>1.104</v>
      </c>
      <c r="J145" s="4" t="n">
        <f aca="false">G145/1000</f>
        <v>1.104</v>
      </c>
      <c r="K145" s="4" t="n">
        <f aca="false">H145/1000</f>
        <v>1.104</v>
      </c>
    </row>
    <row r="146" customFormat="false" ht="15" hidden="false" customHeight="false" outlineLevel="0" collapsed="false">
      <c r="A146" s="2" t="s">
        <v>46</v>
      </c>
      <c r="B146" s="2" t="n">
        <v>1</v>
      </c>
      <c r="C146" s="2" t="s">
        <v>23</v>
      </c>
      <c r="D146" s="2" t="s">
        <v>25</v>
      </c>
      <c r="E146" s="2" t="n">
        <v>200</v>
      </c>
      <c r="F146" s="2" t="n">
        <v>3316</v>
      </c>
      <c r="G146" s="2" t="n">
        <v>3316</v>
      </c>
      <c r="H146" s="2" t="n">
        <v>3329</v>
      </c>
      <c r="I146" s="4" t="n">
        <f aca="false">F146/1000</f>
        <v>3.316</v>
      </c>
      <c r="J146" s="4" t="n">
        <f aca="false">G146/1000</f>
        <v>3.316</v>
      </c>
      <c r="K146" s="4" t="n">
        <f aca="false">H146/1000</f>
        <v>3.329</v>
      </c>
    </row>
    <row r="147" customFormat="false" ht="15" hidden="false" customHeight="false" outlineLevel="0" collapsed="false">
      <c r="A147" s="2" t="s">
        <v>46</v>
      </c>
      <c r="B147" s="2" t="n">
        <v>1</v>
      </c>
      <c r="C147" s="2" t="s">
        <v>23</v>
      </c>
      <c r="D147" s="2" t="s">
        <v>26</v>
      </c>
      <c r="E147" s="2" t="n">
        <v>200</v>
      </c>
      <c r="F147" s="2" t="n">
        <v>4420</v>
      </c>
      <c r="G147" s="2" t="n">
        <v>4420</v>
      </c>
      <c r="H147" s="2" t="n">
        <v>4433</v>
      </c>
      <c r="I147" s="4" t="n">
        <f aca="false">F147/1000</f>
        <v>4.42</v>
      </c>
      <c r="J147" s="4" t="n">
        <f aca="false">G147/1000</f>
        <v>4.42</v>
      </c>
      <c r="K147" s="4" t="n">
        <f aca="false">H147/1000</f>
        <v>4.433</v>
      </c>
    </row>
    <row r="148" customFormat="false" ht="15" hidden="false" customHeight="false" outlineLevel="0" collapsed="false">
      <c r="A148" s="2" t="s">
        <v>46</v>
      </c>
      <c r="B148" s="2" t="n">
        <v>1</v>
      </c>
      <c r="C148" s="2" t="s">
        <v>23</v>
      </c>
      <c r="D148" s="2" t="s">
        <v>27</v>
      </c>
      <c r="E148" s="2" t="n">
        <v>200</v>
      </c>
      <c r="F148" s="2" t="n">
        <v>179</v>
      </c>
      <c r="G148" s="2" t="n">
        <v>179</v>
      </c>
      <c r="H148" s="2" t="n">
        <v>183</v>
      </c>
      <c r="I148" s="4" t="n">
        <f aca="false">F148/1000</f>
        <v>0.179</v>
      </c>
      <c r="J148" s="4" t="n">
        <f aca="false">G148/1000</f>
        <v>0.179</v>
      </c>
      <c r="K148" s="4" t="n">
        <f aca="false">H148/1000</f>
        <v>0.183</v>
      </c>
    </row>
    <row r="149" customFormat="false" ht="15" hidden="false" customHeight="false" outlineLevel="0" collapsed="false">
      <c r="A149" s="2" t="s">
        <v>47</v>
      </c>
      <c r="B149" s="2" t="n">
        <v>1</v>
      </c>
      <c r="C149" s="2" t="s">
        <v>23</v>
      </c>
      <c r="D149" s="2" t="s">
        <v>24</v>
      </c>
      <c r="E149" s="2" t="n">
        <v>200</v>
      </c>
      <c r="F149" s="2" t="n">
        <v>1100</v>
      </c>
      <c r="G149" s="2" t="n">
        <v>1100</v>
      </c>
      <c r="H149" s="2" t="n">
        <v>1104</v>
      </c>
      <c r="I149" s="4" t="n">
        <f aca="false">F149/1000</f>
        <v>1.1</v>
      </c>
      <c r="J149" s="4" t="n">
        <f aca="false">G149/1000</f>
        <v>1.1</v>
      </c>
      <c r="K149" s="4" t="n">
        <f aca="false">H149/1000</f>
        <v>1.104</v>
      </c>
    </row>
    <row r="150" customFormat="false" ht="15" hidden="false" customHeight="false" outlineLevel="0" collapsed="false">
      <c r="A150" s="2" t="s">
        <v>47</v>
      </c>
      <c r="B150" s="2" t="n">
        <v>1</v>
      </c>
      <c r="C150" s="2" t="s">
        <v>23</v>
      </c>
      <c r="D150" s="2" t="s">
        <v>25</v>
      </c>
      <c r="E150" s="2" t="n">
        <v>200</v>
      </c>
      <c r="F150" s="2" t="n">
        <v>3316</v>
      </c>
      <c r="G150" s="2" t="n">
        <v>3316</v>
      </c>
      <c r="H150" s="2" t="n">
        <v>3329</v>
      </c>
      <c r="I150" s="4" t="n">
        <f aca="false">F150/1000</f>
        <v>3.316</v>
      </c>
      <c r="J150" s="4" t="n">
        <f aca="false">G150/1000</f>
        <v>3.316</v>
      </c>
      <c r="K150" s="4" t="n">
        <f aca="false">H150/1000</f>
        <v>3.329</v>
      </c>
    </row>
    <row r="151" customFormat="false" ht="15" hidden="false" customHeight="false" outlineLevel="0" collapsed="false">
      <c r="A151" s="2" t="s">
        <v>47</v>
      </c>
      <c r="B151" s="2" t="n">
        <v>1</v>
      </c>
      <c r="C151" s="2" t="s">
        <v>23</v>
      </c>
      <c r="D151" s="2" t="s">
        <v>26</v>
      </c>
      <c r="E151" s="2" t="n">
        <v>200</v>
      </c>
      <c r="F151" s="2" t="n">
        <v>4420</v>
      </c>
      <c r="G151" s="2" t="n">
        <v>4420</v>
      </c>
      <c r="H151" s="2" t="n">
        <v>4433</v>
      </c>
      <c r="I151" s="4" t="n">
        <f aca="false">F151/1000</f>
        <v>4.42</v>
      </c>
      <c r="J151" s="4" t="n">
        <f aca="false">G151/1000</f>
        <v>4.42</v>
      </c>
      <c r="K151" s="4" t="n">
        <f aca="false">H151/1000</f>
        <v>4.433</v>
      </c>
    </row>
    <row r="152" customFormat="false" ht="15" hidden="false" customHeight="false" outlineLevel="0" collapsed="false">
      <c r="A152" s="2" t="s">
        <v>47</v>
      </c>
      <c r="B152" s="2" t="n">
        <v>1</v>
      </c>
      <c r="C152" s="2" t="s">
        <v>23</v>
      </c>
      <c r="D152" s="2" t="s">
        <v>27</v>
      </c>
      <c r="E152" s="2" t="n">
        <v>200</v>
      </c>
      <c r="F152" s="2" t="n">
        <v>10000245</v>
      </c>
      <c r="G152" s="2" t="n">
        <v>10000245</v>
      </c>
      <c r="H152" s="2" t="n">
        <v>10000250</v>
      </c>
      <c r="I152" s="4" t="n">
        <f aca="false">F152/1000</f>
        <v>10000.245</v>
      </c>
      <c r="J152" s="4" t="n">
        <f aca="false">G152/1000</f>
        <v>10000.245</v>
      </c>
      <c r="K152" s="4" t="n">
        <f aca="false">H152/1000</f>
        <v>10000.25</v>
      </c>
    </row>
    <row r="153" customFormat="false" ht="15" hidden="false" customHeight="false" outlineLevel="0" collapsed="false">
      <c r="A153" s="2" t="s">
        <v>48</v>
      </c>
      <c r="B153" s="2" t="n">
        <v>1</v>
      </c>
      <c r="C153" s="2" t="s">
        <v>23</v>
      </c>
      <c r="D153" s="2" t="s">
        <v>24</v>
      </c>
      <c r="E153" s="2" t="n">
        <v>200</v>
      </c>
      <c r="F153" s="2" t="n">
        <v>1104</v>
      </c>
      <c r="G153" s="2" t="n">
        <v>1104</v>
      </c>
      <c r="H153" s="2" t="n">
        <v>1104</v>
      </c>
      <c r="I153" s="4" t="n">
        <f aca="false">F153/1000</f>
        <v>1.104</v>
      </c>
      <c r="J153" s="4" t="n">
        <f aca="false">G153/1000</f>
        <v>1.104</v>
      </c>
      <c r="K153" s="4" t="n">
        <f aca="false">H153/1000</f>
        <v>1.104</v>
      </c>
    </row>
    <row r="154" customFormat="false" ht="15" hidden="false" customHeight="false" outlineLevel="0" collapsed="false">
      <c r="A154" s="2" t="s">
        <v>48</v>
      </c>
      <c r="B154" s="2" t="n">
        <v>1</v>
      </c>
      <c r="C154" s="2" t="s">
        <v>23</v>
      </c>
      <c r="D154" s="2" t="s">
        <v>25</v>
      </c>
      <c r="E154" s="2" t="n">
        <v>200</v>
      </c>
      <c r="F154" s="2" t="n">
        <v>3316</v>
      </c>
      <c r="G154" s="2" t="n">
        <v>3316</v>
      </c>
      <c r="H154" s="2" t="n">
        <v>3329</v>
      </c>
      <c r="I154" s="4" t="n">
        <f aca="false">F154/1000</f>
        <v>3.316</v>
      </c>
      <c r="J154" s="4" t="n">
        <f aca="false">G154/1000</f>
        <v>3.316</v>
      </c>
      <c r="K154" s="4" t="n">
        <f aca="false">H154/1000</f>
        <v>3.329</v>
      </c>
    </row>
    <row r="155" customFormat="false" ht="15" hidden="false" customHeight="false" outlineLevel="0" collapsed="false">
      <c r="A155" s="2" t="s">
        <v>48</v>
      </c>
      <c r="B155" s="2" t="n">
        <v>1</v>
      </c>
      <c r="C155" s="2" t="s">
        <v>23</v>
      </c>
      <c r="D155" s="2" t="s">
        <v>26</v>
      </c>
      <c r="E155" s="2" t="n">
        <v>200</v>
      </c>
      <c r="F155" s="2" t="n">
        <v>4420</v>
      </c>
      <c r="G155" s="2" t="n">
        <v>4420</v>
      </c>
      <c r="H155" s="2" t="n">
        <v>4433</v>
      </c>
      <c r="I155" s="4" t="n">
        <f aca="false">F155/1000</f>
        <v>4.42</v>
      </c>
      <c r="J155" s="4" t="n">
        <f aca="false">G155/1000</f>
        <v>4.42</v>
      </c>
      <c r="K155" s="4" t="n">
        <f aca="false">H155/1000</f>
        <v>4.433</v>
      </c>
    </row>
    <row r="156" customFormat="false" ht="15" hidden="false" customHeight="false" outlineLevel="0" collapsed="false">
      <c r="A156" s="2" t="s">
        <v>48</v>
      </c>
      <c r="B156" s="2" t="n">
        <v>1</v>
      </c>
      <c r="C156" s="2" t="s">
        <v>23</v>
      </c>
      <c r="D156" s="2" t="s">
        <v>27</v>
      </c>
      <c r="E156" s="2" t="n">
        <v>200</v>
      </c>
      <c r="F156" s="2" t="n">
        <v>1000233</v>
      </c>
      <c r="G156" s="2" t="n">
        <v>1000258</v>
      </c>
      <c r="H156" s="2" t="n">
        <v>1000262</v>
      </c>
      <c r="I156" s="4" t="n">
        <f aca="false">F156/1000</f>
        <v>1000.233</v>
      </c>
      <c r="J156" s="4" t="n">
        <f aca="false">G156/1000</f>
        <v>1000.258</v>
      </c>
      <c r="K156" s="4" t="n">
        <f aca="false">H156/1000</f>
        <v>1000.262</v>
      </c>
    </row>
    <row r="157" customFormat="false" ht="15" hidden="false" customHeight="false" outlineLevel="0" collapsed="false">
      <c r="A157" s="2" t="s">
        <v>49</v>
      </c>
      <c r="B157" s="2" t="n">
        <v>1</v>
      </c>
      <c r="C157" s="2" t="s">
        <v>23</v>
      </c>
      <c r="D157" s="2" t="s">
        <v>24</v>
      </c>
      <c r="E157" s="2" t="n">
        <v>200</v>
      </c>
      <c r="F157" s="2" t="n">
        <v>1104</v>
      </c>
      <c r="G157" s="2" t="n">
        <v>1104</v>
      </c>
      <c r="H157" s="2" t="n">
        <v>1104</v>
      </c>
      <c r="I157" s="4" t="n">
        <f aca="false">F157/1000</f>
        <v>1.104</v>
      </c>
      <c r="J157" s="4" t="n">
        <f aca="false">G157/1000</f>
        <v>1.104</v>
      </c>
      <c r="K157" s="4" t="n">
        <f aca="false">H157/1000</f>
        <v>1.104</v>
      </c>
    </row>
    <row r="158" customFormat="false" ht="15" hidden="false" customHeight="false" outlineLevel="0" collapsed="false">
      <c r="A158" s="2" t="s">
        <v>49</v>
      </c>
      <c r="B158" s="2" t="n">
        <v>1</v>
      </c>
      <c r="C158" s="2" t="s">
        <v>23</v>
      </c>
      <c r="D158" s="2" t="s">
        <v>25</v>
      </c>
      <c r="E158" s="2" t="n">
        <v>200</v>
      </c>
      <c r="F158" s="2" t="n">
        <v>3316</v>
      </c>
      <c r="G158" s="2" t="n">
        <v>3320</v>
      </c>
      <c r="H158" s="2" t="n">
        <v>3329</v>
      </c>
      <c r="I158" s="4" t="n">
        <f aca="false">F158/1000</f>
        <v>3.316</v>
      </c>
      <c r="J158" s="4" t="n">
        <f aca="false">G158/1000</f>
        <v>3.32</v>
      </c>
      <c r="K158" s="4" t="n">
        <f aca="false">H158/1000</f>
        <v>3.329</v>
      </c>
    </row>
    <row r="159" customFormat="false" ht="15" hidden="false" customHeight="false" outlineLevel="0" collapsed="false">
      <c r="A159" s="2" t="s">
        <v>49</v>
      </c>
      <c r="B159" s="2" t="n">
        <v>1</v>
      </c>
      <c r="C159" s="2" t="s">
        <v>23</v>
      </c>
      <c r="D159" s="2" t="s">
        <v>26</v>
      </c>
      <c r="E159" s="2" t="n">
        <v>200</v>
      </c>
      <c r="F159" s="2" t="n">
        <v>4420</v>
      </c>
      <c r="G159" s="2" t="n">
        <v>4425</v>
      </c>
      <c r="H159" s="2" t="n">
        <v>4433</v>
      </c>
      <c r="I159" s="4" t="n">
        <f aca="false">F159/1000</f>
        <v>4.42</v>
      </c>
      <c r="J159" s="4" t="n">
        <f aca="false">G159/1000</f>
        <v>4.425</v>
      </c>
      <c r="K159" s="4" t="n">
        <f aca="false">H159/1000</f>
        <v>4.433</v>
      </c>
    </row>
    <row r="160" customFormat="false" ht="15" hidden="false" customHeight="false" outlineLevel="0" collapsed="false">
      <c r="A160" s="2" t="s">
        <v>49</v>
      </c>
      <c r="B160" s="2" t="n">
        <v>1</v>
      </c>
      <c r="C160" s="2" t="s">
        <v>23</v>
      </c>
      <c r="D160" s="2" t="s">
        <v>27</v>
      </c>
      <c r="E160" s="2" t="n">
        <v>200</v>
      </c>
      <c r="F160" s="2" t="n">
        <v>50000283</v>
      </c>
      <c r="G160" s="2" t="n">
        <v>50000283</v>
      </c>
      <c r="H160" s="2" t="n">
        <v>50000287</v>
      </c>
      <c r="I160" s="4" t="n">
        <f aca="false">F160/1000</f>
        <v>50000.283</v>
      </c>
      <c r="J160" s="4" t="n">
        <f aca="false">G160/1000</f>
        <v>50000.283</v>
      </c>
      <c r="K160" s="4" t="n">
        <f aca="false">H160/1000</f>
        <v>50000.287</v>
      </c>
    </row>
    <row r="161" customFormat="false" ht="15" hidden="false" customHeight="false" outlineLevel="0" collapsed="false">
      <c r="A161" s="2" t="s">
        <v>50</v>
      </c>
      <c r="B161" s="2" t="n">
        <v>1</v>
      </c>
      <c r="C161" s="2" t="s">
        <v>34</v>
      </c>
      <c r="D161" s="2" t="s">
        <v>24</v>
      </c>
      <c r="E161" s="2" t="n">
        <v>200</v>
      </c>
      <c r="F161" s="2" t="n">
        <v>1100</v>
      </c>
      <c r="G161" s="2" t="n">
        <v>1100</v>
      </c>
      <c r="H161" s="2" t="n">
        <v>1104</v>
      </c>
      <c r="I161" s="4" t="n">
        <f aca="false">F161/1000</f>
        <v>1.1</v>
      </c>
      <c r="J161" s="4" t="n">
        <f aca="false">G161/1000</f>
        <v>1.1</v>
      </c>
      <c r="K161" s="4" t="n">
        <f aca="false">H161/1000</f>
        <v>1.104</v>
      </c>
    </row>
    <row r="162" customFormat="false" ht="15" hidden="false" customHeight="false" outlineLevel="0" collapsed="false">
      <c r="A162" s="2" t="s">
        <v>50</v>
      </c>
      <c r="B162" s="2" t="n">
        <v>1</v>
      </c>
      <c r="C162" s="2" t="s">
        <v>34</v>
      </c>
      <c r="D162" s="2" t="s">
        <v>25</v>
      </c>
      <c r="E162" s="2" t="n">
        <v>200</v>
      </c>
      <c r="F162" s="2" t="n">
        <v>3929</v>
      </c>
      <c r="G162" s="2" t="n">
        <v>3929</v>
      </c>
      <c r="H162" s="2" t="n">
        <v>3937</v>
      </c>
      <c r="I162" s="4" t="n">
        <f aca="false">F162/1000</f>
        <v>3.929</v>
      </c>
      <c r="J162" s="4" t="n">
        <f aca="false">G162/1000</f>
        <v>3.929</v>
      </c>
      <c r="K162" s="4" t="n">
        <f aca="false">H162/1000</f>
        <v>3.937</v>
      </c>
    </row>
    <row r="163" customFormat="false" ht="15" hidden="false" customHeight="false" outlineLevel="0" collapsed="false">
      <c r="A163" s="2" t="s">
        <v>50</v>
      </c>
      <c r="B163" s="2" t="n">
        <v>1</v>
      </c>
      <c r="C163" s="2" t="s">
        <v>34</v>
      </c>
      <c r="D163" s="2" t="s">
        <v>26</v>
      </c>
      <c r="E163" s="2" t="n">
        <v>200</v>
      </c>
      <c r="F163" s="2" t="n">
        <v>5033</v>
      </c>
      <c r="G163" s="2" t="n">
        <v>5033</v>
      </c>
      <c r="H163" s="2" t="n">
        <v>5041</v>
      </c>
      <c r="I163" s="4" t="n">
        <f aca="false">F163/1000</f>
        <v>5.033</v>
      </c>
      <c r="J163" s="4" t="n">
        <f aca="false">G163/1000</f>
        <v>5.033</v>
      </c>
      <c r="K163" s="4" t="n">
        <f aca="false">H163/1000</f>
        <v>5.041</v>
      </c>
    </row>
    <row r="164" customFormat="false" ht="15" hidden="false" customHeight="false" outlineLevel="0" collapsed="false">
      <c r="A164" s="2" t="s">
        <v>50</v>
      </c>
      <c r="B164" s="2" t="n">
        <v>1</v>
      </c>
      <c r="C164" s="2" t="s">
        <v>34</v>
      </c>
      <c r="D164" s="2" t="s">
        <v>27</v>
      </c>
      <c r="E164" s="2" t="n">
        <v>200</v>
      </c>
      <c r="F164" s="2" t="n">
        <v>179</v>
      </c>
      <c r="G164" s="2" t="n">
        <v>179</v>
      </c>
      <c r="H164" s="2" t="n">
        <v>183</v>
      </c>
      <c r="I164" s="4" t="n">
        <f aca="false">F164/1000</f>
        <v>0.179</v>
      </c>
      <c r="J164" s="4" t="n">
        <f aca="false">G164/1000</f>
        <v>0.179</v>
      </c>
      <c r="K164" s="4" t="n">
        <f aca="false">H164/1000</f>
        <v>0.183</v>
      </c>
    </row>
    <row r="165" customFormat="false" ht="15" hidden="false" customHeight="false" outlineLevel="0" collapsed="false">
      <c r="A165" s="2" t="s">
        <v>51</v>
      </c>
      <c r="B165" s="2" t="n">
        <v>1</v>
      </c>
      <c r="C165" s="2" t="s">
        <v>34</v>
      </c>
      <c r="D165" s="2" t="s">
        <v>24</v>
      </c>
      <c r="E165" s="2" t="n">
        <v>200</v>
      </c>
      <c r="F165" s="2" t="n">
        <v>1100</v>
      </c>
      <c r="G165" s="2" t="n">
        <v>1100</v>
      </c>
      <c r="H165" s="2" t="n">
        <v>1104</v>
      </c>
      <c r="I165" s="4" t="n">
        <f aca="false">F165/1000</f>
        <v>1.1</v>
      </c>
      <c r="J165" s="4" t="n">
        <f aca="false">G165/1000</f>
        <v>1.1</v>
      </c>
      <c r="K165" s="4" t="n">
        <f aca="false">H165/1000</f>
        <v>1.104</v>
      </c>
    </row>
    <row r="166" customFormat="false" ht="15" hidden="false" customHeight="false" outlineLevel="0" collapsed="false">
      <c r="A166" s="2" t="s">
        <v>51</v>
      </c>
      <c r="B166" s="2" t="n">
        <v>1</v>
      </c>
      <c r="C166" s="2" t="s">
        <v>34</v>
      </c>
      <c r="D166" s="2" t="s">
        <v>25</v>
      </c>
      <c r="E166" s="2" t="n">
        <v>200</v>
      </c>
      <c r="F166" s="2" t="n">
        <v>3929</v>
      </c>
      <c r="G166" s="2" t="n">
        <v>3929</v>
      </c>
      <c r="H166" s="2" t="n">
        <v>3941</v>
      </c>
      <c r="I166" s="4" t="n">
        <f aca="false">F166/1000</f>
        <v>3.929</v>
      </c>
      <c r="J166" s="4" t="n">
        <f aca="false">G166/1000</f>
        <v>3.929</v>
      </c>
      <c r="K166" s="4" t="n">
        <f aca="false">H166/1000</f>
        <v>3.941</v>
      </c>
    </row>
    <row r="167" customFormat="false" ht="15" hidden="false" customHeight="false" outlineLevel="0" collapsed="false">
      <c r="A167" s="2" t="s">
        <v>51</v>
      </c>
      <c r="B167" s="2" t="n">
        <v>1</v>
      </c>
      <c r="C167" s="2" t="s">
        <v>34</v>
      </c>
      <c r="D167" s="2" t="s">
        <v>26</v>
      </c>
      <c r="E167" s="2" t="n">
        <v>200</v>
      </c>
      <c r="F167" s="2" t="n">
        <v>5033</v>
      </c>
      <c r="G167" s="2" t="n">
        <v>5033</v>
      </c>
      <c r="H167" s="2" t="n">
        <v>5045</v>
      </c>
      <c r="I167" s="4" t="n">
        <f aca="false">F167/1000</f>
        <v>5.033</v>
      </c>
      <c r="J167" s="4" t="n">
        <f aca="false">G167/1000</f>
        <v>5.033</v>
      </c>
      <c r="K167" s="4" t="n">
        <f aca="false">H167/1000</f>
        <v>5.045</v>
      </c>
    </row>
    <row r="168" customFormat="false" ht="15" hidden="false" customHeight="false" outlineLevel="0" collapsed="false">
      <c r="A168" s="2" t="s">
        <v>51</v>
      </c>
      <c r="B168" s="2" t="n">
        <v>1</v>
      </c>
      <c r="C168" s="2" t="s">
        <v>34</v>
      </c>
      <c r="D168" s="2" t="s">
        <v>27</v>
      </c>
      <c r="E168" s="2" t="n">
        <v>200</v>
      </c>
      <c r="F168" s="2" t="n">
        <v>10000245</v>
      </c>
      <c r="G168" s="2" t="n">
        <v>10000245</v>
      </c>
      <c r="H168" s="2" t="n">
        <v>10000250</v>
      </c>
      <c r="I168" s="4" t="n">
        <f aca="false">F168/1000</f>
        <v>10000.245</v>
      </c>
      <c r="J168" s="4" t="n">
        <f aca="false">G168/1000</f>
        <v>10000.245</v>
      </c>
      <c r="K168" s="4" t="n">
        <f aca="false">H168/1000</f>
        <v>10000.25</v>
      </c>
    </row>
    <row r="169" customFormat="false" ht="15" hidden="false" customHeight="false" outlineLevel="0" collapsed="false">
      <c r="A169" s="2" t="s">
        <v>52</v>
      </c>
      <c r="B169" s="2" t="n">
        <v>1</v>
      </c>
      <c r="C169" s="2" t="s">
        <v>34</v>
      </c>
      <c r="D169" s="2" t="s">
        <v>24</v>
      </c>
      <c r="E169" s="2" t="n">
        <v>200</v>
      </c>
      <c r="F169" s="2" t="n">
        <v>1104</v>
      </c>
      <c r="G169" s="2" t="n">
        <v>1104</v>
      </c>
      <c r="H169" s="2" t="n">
        <v>1104</v>
      </c>
      <c r="I169" s="4" t="n">
        <f aca="false">F169/1000</f>
        <v>1.104</v>
      </c>
      <c r="J169" s="4" t="n">
        <f aca="false">G169/1000</f>
        <v>1.104</v>
      </c>
      <c r="K169" s="4" t="n">
        <f aca="false">H169/1000</f>
        <v>1.104</v>
      </c>
    </row>
    <row r="170" customFormat="false" ht="15" hidden="false" customHeight="false" outlineLevel="0" collapsed="false">
      <c r="A170" s="2" t="s">
        <v>52</v>
      </c>
      <c r="B170" s="2" t="n">
        <v>1</v>
      </c>
      <c r="C170" s="2" t="s">
        <v>34</v>
      </c>
      <c r="D170" s="2" t="s">
        <v>25</v>
      </c>
      <c r="E170" s="2" t="n">
        <v>200</v>
      </c>
      <c r="F170" s="2" t="n">
        <v>3929</v>
      </c>
      <c r="G170" s="2" t="n">
        <v>3929</v>
      </c>
      <c r="H170" s="2" t="n">
        <v>3941</v>
      </c>
      <c r="I170" s="4" t="n">
        <f aca="false">F170/1000</f>
        <v>3.929</v>
      </c>
      <c r="J170" s="4" t="n">
        <f aca="false">G170/1000</f>
        <v>3.929</v>
      </c>
      <c r="K170" s="4" t="n">
        <f aca="false">H170/1000</f>
        <v>3.941</v>
      </c>
    </row>
    <row r="171" customFormat="false" ht="15" hidden="false" customHeight="false" outlineLevel="0" collapsed="false">
      <c r="A171" s="2" t="s">
        <v>52</v>
      </c>
      <c r="B171" s="2" t="n">
        <v>1</v>
      </c>
      <c r="C171" s="2" t="s">
        <v>34</v>
      </c>
      <c r="D171" s="2" t="s">
        <v>26</v>
      </c>
      <c r="E171" s="2" t="n">
        <v>200</v>
      </c>
      <c r="F171" s="2" t="n">
        <v>5033</v>
      </c>
      <c r="G171" s="2" t="n">
        <v>5033</v>
      </c>
      <c r="H171" s="2" t="n">
        <v>5045</v>
      </c>
      <c r="I171" s="4" t="n">
        <f aca="false">F171/1000</f>
        <v>5.033</v>
      </c>
      <c r="J171" s="4" t="n">
        <f aca="false">G171/1000</f>
        <v>5.033</v>
      </c>
      <c r="K171" s="4" t="n">
        <f aca="false">H171/1000</f>
        <v>5.045</v>
      </c>
    </row>
    <row r="172" customFormat="false" ht="15" hidden="false" customHeight="false" outlineLevel="0" collapsed="false">
      <c r="A172" s="2" t="s">
        <v>52</v>
      </c>
      <c r="B172" s="2" t="n">
        <v>1</v>
      </c>
      <c r="C172" s="2" t="s">
        <v>34</v>
      </c>
      <c r="D172" s="2" t="s">
        <v>27</v>
      </c>
      <c r="E172" s="2" t="n">
        <v>200</v>
      </c>
      <c r="F172" s="2" t="n">
        <v>1000258</v>
      </c>
      <c r="G172" s="2" t="n">
        <v>1000258</v>
      </c>
      <c r="H172" s="2" t="n">
        <v>1000262</v>
      </c>
      <c r="I172" s="4" t="n">
        <f aca="false">F172/1000</f>
        <v>1000.258</v>
      </c>
      <c r="J172" s="4" t="n">
        <f aca="false">G172/1000</f>
        <v>1000.258</v>
      </c>
      <c r="K172" s="4" t="n">
        <f aca="false">H172/1000</f>
        <v>1000.262</v>
      </c>
    </row>
    <row r="173" customFormat="false" ht="15" hidden="false" customHeight="false" outlineLevel="0" collapsed="false">
      <c r="A173" s="2" t="s">
        <v>53</v>
      </c>
      <c r="B173" s="2" t="n">
        <v>1</v>
      </c>
      <c r="C173" s="2" t="s">
        <v>34</v>
      </c>
      <c r="D173" s="2" t="s">
        <v>24</v>
      </c>
      <c r="E173" s="2" t="n">
        <v>200</v>
      </c>
      <c r="F173" s="2" t="n">
        <v>1100</v>
      </c>
      <c r="G173" s="2" t="n">
        <v>1100</v>
      </c>
      <c r="H173" s="2" t="n">
        <v>1104</v>
      </c>
      <c r="I173" s="4" t="n">
        <f aca="false">F173/1000</f>
        <v>1.1</v>
      </c>
      <c r="J173" s="4" t="n">
        <f aca="false">G173/1000</f>
        <v>1.1</v>
      </c>
      <c r="K173" s="4" t="n">
        <f aca="false">H173/1000</f>
        <v>1.104</v>
      </c>
    </row>
    <row r="174" customFormat="false" ht="15" hidden="false" customHeight="false" outlineLevel="0" collapsed="false">
      <c r="A174" s="2" t="s">
        <v>53</v>
      </c>
      <c r="B174" s="2" t="n">
        <v>1</v>
      </c>
      <c r="C174" s="2" t="s">
        <v>34</v>
      </c>
      <c r="D174" s="2" t="s">
        <v>25</v>
      </c>
      <c r="E174" s="2" t="n">
        <v>200</v>
      </c>
      <c r="F174" s="2" t="n">
        <v>3929</v>
      </c>
      <c r="G174" s="2" t="n">
        <v>3929</v>
      </c>
      <c r="H174" s="2" t="n">
        <v>3941</v>
      </c>
      <c r="I174" s="4" t="n">
        <f aca="false">F174/1000</f>
        <v>3.929</v>
      </c>
      <c r="J174" s="4" t="n">
        <f aca="false">G174/1000</f>
        <v>3.929</v>
      </c>
      <c r="K174" s="4" t="n">
        <f aca="false">H174/1000</f>
        <v>3.941</v>
      </c>
    </row>
    <row r="175" customFormat="false" ht="15" hidden="false" customHeight="false" outlineLevel="0" collapsed="false">
      <c r="A175" s="2" t="s">
        <v>53</v>
      </c>
      <c r="B175" s="2" t="n">
        <v>1</v>
      </c>
      <c r="C175" s="2" t="s">
        <v>34</v>
      </c>
      <c r="D175" s="2" t="s">
        <v>26</v>
      </c>
      <c r="E175" s="2" t="n">
        <v>200</v>
      </c>
      <c r="F175" s="2" t="n">
        <v>5033</v>
      </c>
      <c r="G175" s="2" t="n">
        <v>5033</v>
      </c>
      <c r="H175" s="2" t="n">
        <v>5045</v>
      </c>
      <c r="I175" s="4" t="n">
        <f aca="false">F175/1000</f>
        <v>5.033</v>
      </c>
      <c r="J175" s="4" t="n">
        <f aca="false">G175/1000</f>
        <v>5.033</v>
      </c>
      <c r="K175" s="4" t="n">
        <f aca="false">H175/1000</f>
        <v>5.045</v>
      </c>
    </row>
    <row r="176" customFormat="false" ht="15" hidden="false" customHeight="false" outlineLevel="0" collapsed="false">
      <c r="A176" s="2" t="s">
        <v>53</v>
      </c>
      <c r="B176" s="2" t="n">
        <v>1</v>
      </c>
      <c r="C176" s="2" t="s">
        <v>34</v>
      </c>
      <c r="D176" s="2" t="s">
        <v>27</v>
      </c>
      <c r="E176" s="2" t="n">
        <v>200</v>
      </c>
      <c r="F176" s="2" t="n">
        <v>50000279</v>
      </c>
      <c r="G176" s="2" t="n">
        <v>50000295</v>
      </c>
      <c r="H176" s="2" t="n">
        <v>50000304</v>
      </c>
      <c r="I176" s="4" t="n">
        <f aca="false">F176/1000</f>
        <v>50000.279</v>
      </c>
      <c r="J176" s="4" t="n">
        <f aca="false">G176/1000</f>
        <v>50000.295</v>
      </c>
      <c r="K176" s="4" t="n">
        <f aca="false">H176/1000</f>
        <v>50000.304</v>
      </c>
    </row>
    <row r="177" customFormat="false" ht="15" hidden="false" customHeight="false" outlineLevel="0" collapsed="false">
      <c r="A177" s="2" t="s">
        <v>54</v>
      </c>
      <c r="B177" s="2" t="n">
        <v>1</v>
      </c>
      <c r="C177" s="2" t="s">
        <v>23</v>
      </c>
      <c r="D177" s="2" t="s">
        <v>24</v>
      </c>
      <c r="E177" s="2" t="n">
        <v>200</v>
      </c>
      <c r="F177" s="2" t="n">
        <v>1100</v>
      </c>
      <c r="G177" s="2" t="n">
        <v>1100</v>
      </c>
      <c r="H177" s="2" t="n">
        <v>1104</v>
      </c>
      <c r="I177" s="4" t="n">
        <f aca="false">F177/1000</f>
        <v>1.1</v>
      </c>
      <c r="J177" s="4" t="n">
        <f aca="false">G177/1000</f>
        <v>1.1</v>
      </c>
      <c r="K177" s="4" t="n">
        <f aca="false">H177/1000</f>
        <v>1.104</v>
      </c>
    </row>
    <row r="178" customFormat="false" ht="15" hidden="false" customHeight="false" outlineLevel="0" collapsed="false">
      <c r="A178" s="2" t="s">
        <v>54</v>
      </c>
      <c r="B178" s="2" t="n">
        <v>1</v>
      </c>
      <c r="C178" s="2" t="s">
        <v>23</v>
      </c>
      <c r="D178" s="2" t="s">
        <v>25</v>
      </c>
      <c r="E178" s="2" t="n">
        <v>167</v>
      </c>
      <c r="F178" s="2" t="n">
        <v>5504</v>
      </c>
      <c r="G178" s="2" t="n">
        <v>9994575</v>
      </c>
      <c r="H178" s="2" t="n">
        <v>20146070</v>
      </c>
      <c r="I178" s="4" t="n">
        <f aca="false">F178/1000</f>
        <v>5.504</v>
      </c>
      <c r="J178" s="4" t="n">
        <f aca="false">G178/1000</f>
        <v>9994.575</v>
      </c>
      <c r="K178" s="4" t="n">
        <f aca="false">H178/1000</f>
        <v>20146.07</v>
      </c>
    </row>
    <row r="179" customFormat="false" ht="15" hidden="false" customHeight="false" outlineLevel="0" collapsed="false">
      <c r="A179" s="2" t="s">
        <v>54</v>
      </c>
      <c r="B179" s="2" t="n">
        <v>1</v>
      </c>
      <c r="C179" s="2" t="s">
        <v>23</v>
      </c>
      <c r="D179" s="2" t="s">
        <v>26</v>
      </c>
      <c r="E179" s="2" t="n">
        <v>167</v>
      </c>
      <c r="F179" s="2" t="n">
        <v>6608</v>
      </c>
      <c r="G179" s="2" t="n">
        <v>9995679</v>
      </c>
      <c r="H179" s="2" t="n">
        <v>20147170</v>
      </c>
      <c r="I179" s="4" t="n">
        <f aca="false">F179/1000</f>
        <v>6.608</v>
      </c>
      <c r="J179" s="4" t="n">
        <f aca="false">G179/1000</f>
        <v>9995.679</v>
      </c>
      <c r="K179" s="4" t="n">
        <f aca="false">H179/1000</f>
        <v>20147.17</v>
      </c>
    </row>
    <row r="180" customFormat="false" ht="15" hidden="false" customHeight="false" outlineLevel="0" collapsed="false">
      <c r="A180" s="2" t="s">
        <v>54</v>
      </c>
      <c r="B180" s="2" t="n">
        <v>1</v>
      </c>
      <c r="C180" s="2" t="s">
        <v>23</v>
      </c>
      <c r="D180" s="2" t="s">
        <v>27</v>
      </c>
      <c r="E180" s="2" t="n">
        <v>167</v>
      </c>
      <c r="F180" s="2" t="n">
        <v>30000283</v>
      </c>
      <c r="G180" s="2" t="n">
        <v>30000300</v>
      </c>
      <c r="H180" s="2" t="n">
        <v>30000308</v>
      </c>
      <c r="I180" s="4" t="n">
        <f aca="false">F180/1000</f>
        <v>30000.283</v>
      </c>
      <c r="J180" s="4" t="n">
        <f aca="false">G180/1000</f>
        <v>30000.3</v>
      </c>
      <c r="K180" s="4" t="n">
        <f aca="false">H180/1000</f>
        <v>30000.308</v>
      </c>
    </row>
    <row r="181" customFormat="false" ht="15" hidden="false" customHeight="false" outlineLevel="0" collapsed="false">
      <c r="A181" s="2" t="s">
        <v>55</v>
      </c>
      <c r="B181" s="2" t="n">
        <v>1</v>
      </c>
      <c r="C181" s="2" t="s">
        <v>30</v>
      </c>
      <c r="D181" s="2" t="s">
        <v>24</v>
      </c>
      <c r="E181" s="2" t="n">
        <v>75</v>
      </c>
      <c r="F181" s="2" t="n">
        <v>3000000</v>
      </c>
      <c r="G181" s="2" t="n">
        <v>4000000</v>
      </c>
      <c r="H181" s="2" t="n">
        <v>5000008</v>
      </c>
      <c r="I181" s="4" t="n">
        <f aca="false">F181/1000</f>
        <v>3000</v>
      </c>
      <c r="J181" s="4" t="n">
        <f aca="false">G181/1000</f>
        <v>4000</v>
      </c>
      <c r="K181" s="4" t="n">
        <f aca="false">H181/1000</f>
        <v>5000.008</v>
      </c>
    </row>
    <row r="182" customFormat="false" ht="15" hidden="false" customHeight="false" outlineLevel="0" collapsed="false">
      <c r="A182" s="2" t="s">
        <v>55</v>
      </c>
      <c r="B182" s="2" t="n">
        <v>1</v>
      </c>
      <c r="C182" s="2" t="s">
        <v>30</v>
      </c>
      <c r="D182" s="2" t="s">
        <v>26</v>
      </c>
      <c r="E182" s="2" t="n">
        <v>75</v>
      </c>
      <c r="F182" s="2" t="n">
        <v>3000000</v>
      </c>
      <c r="G182" s="2" t="n">
        <v>4000000</v>
      </c>
      <c r="H182" s="2" t="n">
        <v>5000008</v>
      </c>
      <c r="I182" s="4" t="n">
        <f aca="false">F182/1000</f>
        <v>3000</v>
      </c>
      <c r="J182" s="4" t="n">
        <f aca="false">G182/1000</f>
        <v>4000</v>
      </c>
      <c r="K182" s="4" t="n">
        <f aca="false">H182/1000</f>
        <v>5000.008</v>
      </c>
    </row>
    <row r="183" customFormat="false" ht="15" hidden="false" customHeight="false" outlineLevel="0" collapsed="false">
      <c r="A183" s="2" t="s">
        <v>55</v>
      </c>
      <c r="B183" s="2" t="n">
        <v>1</v>
      </c>
      <c r="C183" s="2" t="s">
        <v>30</v>
      </c>
      <c r="D183" s="2" t="s">
        <v>27</v>
      </c>
      <c r="E183" s="2" t="n">
        <v>75</v>
      </c>
      <c r="F183" s="2" t="n">
        <v>30000283</v>
      </c>
      <c r="G183" s="2" t="n">
        <v>30000300</v>
      </c>
      <c r="H183" s="2" t="n">
        <v>30000308</v>
      </c>
      <c r="I183" s="4" t="n">
        <f aca="false">F183/1000</f>
        <v>30000.283</v>
      </c>
      <c r="J183" s="4" t="n">
        <f aca="false">G183/1000</f>
        <v>30000.3</v>
      </c>
      <c r="K183" s="4" t="n">
        <f aca="false">H183/1000</f>
        <v>30000.308</v>
      </c>
    </row>
    <row r="184" customFormat="false" ht="15" hidden="false" customHeight="false" outlineLevel="0" collapsed="false">
      <c r="A184" s="2" t="s">
        <v>56</v>
      </c>
      <c r="B184" s="2" t="n">
        <v>1</v>
      </c>
      <c r="C184" s="2" t="s">
        <v>34</v>
      </c>
      <c r="D184" s="2" t="s">
        <v>24</v>
      </c>
      <c r="E184" s="2" t="n">
        <v>200</v>
      </c>
      <c r="F184" s="2" t="n">
        <v>1104</v>
      </c>
      <c r="G184" s="2" t="n">
        <v>1104</v>
      </c>
      <c r="H184" s="2" t="n">
        <v>1104</v>
      </c>
      <c r="I184" s="4" t="n">
        <f aca="false">F184/1000</f>
        <v>1.104</v>
      </c>
      <c r="J184" s="4" t="n">
        <f aca="false">G184/1000</f>
        <v>1.104</v>
      </c>
      <c r="K184" s="4" t="n">
        <f aca="false">H184/1000</f>
        <v>1.104</v>
      </c>
    </row>
    <row r="185" customFormat="false" ht="15" hidden="false" customHeight="false" outlineLevel="0" collapsed="false">
      <c r="A185" s="2" t="s">
        <v>56</v>
      </c>
      <c r="B185" s="2" t="n">
        <v>1</v>
      </c>
      <c r="C185" s="2" t="s">
        <v>34</v>
      </c>
      <c r="D185" s="2" t="s">
        <v>25</v>
      </c>
      <c r="E185" s="2" t="n">
        <v>167</v>
      </c>
      <c r="F185" s="2" t="n">
        <v>6116</v>
      </c>
      <c r="G185" s="2" t="n">
        <v>10025887</v>
      </c>
      <c r="H185" s="2" t="n">
        <v>20207362</v>
      </c>
      <c r="I185" s="4" t="n">
        <f aca="false">F185/1000</f>
        <v>6.116</v>
      </c>
      <c r="J185" s="4" t="n">
        <f aca="false">G185/1000</f>
        <v>10025.887</v>
      </c>
      <c r="K185" s="4" t="n">
        <f aca="false">H185/1000</f>
        <v>20207.362</v>
      </c>
    </row>
    <row r="186" customFormat="false" ht="15" hidden="false" customHeight="false" outlineLevel="0" collapsed="false">
      <c r="A186" s="2" t="s">
        <v>56</v>
      </c>
      <c r="B186" s="2" t="n">
        <v>1</v>
      </c>
      <c r="C186" s="2" t="s">
        <v>34</v>
      </c>
      <c r="D186" s="2" t="s">
        <v>26</v>
      </c>
      <c r="E186" s="2" t="n">
        <v>167</v>
      </c>
      <c r="F186" s="2" t="n">
        <v>7220</v>
      </c>
      <c r="G186" s="2" t="n">
        <v>10026991</v>
      </c>
      <c r="H186" s="2" t="n">
        <v>20208466</v>
      </c>
      <c r="I186" s="4" t="n">
        <f aca="false">F186/1000</f>
        <v>7.22</v>
      </c>
      <c r="J186" s="4" t="n">
        <f aca="false">G186/1000</f>
        <v>10026.991</v>
      </c>
      <c r="K186" s="4" t="n">
        <f aca="false">H186/1000</f>
        <v>20208.466</v>
      </c>
    </row>
    <row r="187" customFormat="false" ht="15" hidden="false" customHeight="false" outlineLevel="0" collapsed="false">
      <c r="A187" s="2" t="s">
        <v>56</v>
      </c>
      <c r="B187" s="2" t="n">
        <v>1</v>
      </c>
      <c r="C187" s="2" t="s">
        <v>34</v>
      </c>
      <c r="D187" s="2" t="s">
        <v>27</v>
      </c>
      <c r="E187" s="2" t="n">
        <v>167</v>
      </c>
      <c r="F187" s="2" t="n">
        <v>30000295</v>
      </c>
      <c r="G187" s="2" t="n">
        <v>30000300</v>
      </c>
      <c r="H187" s="2" t="n">
        <v>30000304</v>
      </c>
      <c r="I187" s="4" t="n">
        <f aca="false">F187/1000</f>
        <v>30000.295</v>
      </c>
      <c r="J187" s="4" t="n">
        <f aca="false">G187/1000</f>
        <v>30000.3</v>
      </c>
      <c r="K187" s="4" t="n">
        <f aca="false">H187/1000</f>
        <v>30000.304</v>
      </c>
    </row>
    <row r="188" customFormat="false" ht="15" hidden="false" customHeight="false" outlineLevel="0" collapsed="false">
      <c r="A188" s="2" t="s">
        <v>57</v>
      </c>
      <c r="B188" s="2" t="n">
        <v>1</v>
      </c>
      <c r="C188" s="2" t="s">
        <v>23</v>
      </c>
      <c r="D188" s="2" t="s">
        <v>24</v>
      </c>
      <c r="E188" s="2" t="n">
        <v>200</v>
      </c>
      <c r="F188" s="2" t="n">
        <v>1104</v>
      </c>
      <c r="G188" s="2" t="n">
        <v>1104</v>
      </c>
      <c r="H188" s="2" t="n">
        <v>1104</v>
      </c>
      <c r="I188" s="4" t="n">
        <f aca="false">F188/1000</f>
        <v>1.104</v>
      </c>
      <c r="J188" s="4" t="n">
        <f aca="false">G188/1000</f>
        <v>1.104</v>
      </c>
      <c r="K188" s="4" t="n">
        <f aca="false">H188/1000</f>
        <v>1.104</v>
      </c>
    </row>
    <row r="189" customFormat="false" ht="15" hidden="false" customHeight="false" outlineLevel="0" collapsed="false">
      <c r="A189" s="2" t="s">
        <v>57</v>
      </c>
      <c r="B189" s="2" t="n">
        <v>1</v>
      </c>
      <c r="C189" s="2" t="s">
        <v>23</v>
      </c>
      <c r="D189" s="2" t="s">
        <v>25</v>
      </c>
      <c r="E189" s="2" t="n">
        <v>200</v>
      </c>
      <c r="F189" s="2" t="n">
        <v>2829</v>
      </c>
      <c r="G189" s="2" t="n">
        <v>2829</v>
      </c>
      <c r="H189" s="2" t="n">
        <v>2837</v>
      </c>
      <c r="I189" s="4" t="n">
        <f aca="false">F189/1000</f>
        <v>2.829</v>
      </c>
      <c r="J189" s="4" t="n">
        <f aca="false">G189/1000</f>
        <v>2.829</v>
      </c>
      <c r="K189" s="4" t="n">
        <f aca="false">H189/1000</f>
        <v>2.837</v>
      </c>
    </row>
    <row r="190" customFormat="false" ht="15" hidden="false" customHeight="false" outlineLevel="0" collapsed="false">
      <c r="A190" s="2" t="s">
        <v>57</v>
      </c>
      <c r="B190" s="2" t="n">
        <v>1</v>
      </c>
      <c r="C190" s="2" t="s">
        <v>23</v>
      </c>
      <c r="D190" s="2" t="s">
        <v>26</v>
      </c>
      <c r="E190" s="2" t="n">
        <v>200</v>
      </c>
      <c r="F190" s="2" t="n">
        <v>3933</v>
      </c>
      <c r="G190" s="2" t="n">
        <v>3933</v>
      </c>
      <c r="H190" s="2" t="n">
        <v>3941</v>
      </c>
      <c r="I190" s="4" t="n">
        <f aca="false">F190/1000</f>
        <v>3.933</v>
      </c>
      <c r="J190" s="4" t="n">
        <f aca="false">G190/1000</f>
        <v>3.933</v>
      </c>
      <c r="K190" s="4" t="n">
        <f aca="false">H190/1000</f>
        <v>3.941</v>
      </c>
    </row>
    <row r="191" customFormat="false" ht="15" hidden="false" customHeight="false" outlineLevel="0" collapsed="false">
      <c r="A191" s="2" t="s">
        <v>57</v>
      </c>
      <c r="B191" s="2" t="n">
        <v>1</v>
      </c>
      <c r="C191" s="2" t="s">
        <v>23</v>
      </c>
      <c r="D191" s="2" t="s">
        <v>27</v>
      </c>
      <c r="E191" s="2" t="n">
        <v>200</v>
      </c>
      <c r="F191" s="2" t="n">
        <v>20000283</v>
      </c>
      <c r="G191" s="2" t="n">
        <v>20000295</v>
      </c>
      <c r="H191" s="2" t="n">
        <v>20000304</v>
      </c>
      <c r="I191" s="4" t="n">
        <f aca="false">F191/1000</f>
        <v>20000.283</v>
      </c>
      <c r="J191" s="4" t="n">
        <f aca="false">G191/1000</f>
        <v>20000.295</v>
      </c>
      <c r="K191" s="4" t="n">
        <f aca="false">H191/1000</f>
        <v>20000.304</v>
      </c>
    </row>
    <row r="192" customFormat="false" ht="15" hidden="false" customHeight="false" outlineLevel="0" collapsed="false">
      <c r="A192" s="2" t="s">
        <v>58</v>
      </c>
      <c r="B192" s="2" t="n">
        <v>1</v>
      </c>
      <c r="C192" s="2" t="s">
        <v>59</v>
      </c>
      <c r="D192" s="2" t="s">
        <v>24</v>
      </c>
      <c r="E192" s="2" t="n">
        <v>200</v>
      </c>
      <c r="F192" s="2" t="n">
        <v>1100</v>
      </c>
      <c r="G192" s="2" t="n">
        <v>1100</v>
      </c>
      <c r="H192" s="2" t="n">
        <v>1104</v>
      </c>
      <c r="I192" s="4" t="n">
        <f aca="false">F192/1000</f>
        <v>1.1</v>
      </c>
      <c r="J192" s="4" t="n">
        <f aca="false">G192/1000</f>
        <v>1.1</v>
      </c>
      <c r="K192" s="4" t="n">
        <f aca="false">H192/1000</f>
        <v>1.104</v>
      </c>
    </row>
    <row r="193" customFormat="false" ht="15" hidden="false" customHeight="false" outlineLevel="0" collapsed="false">
      <c r="A193" s="2" t="s">
        <v>58</v>
      </c>
      <c r="B193" s="2" t="n">
        <v>1</v>
      </c>
      <c r="C193" s="2" t="s">
        <v>59</v>
      </c>
      <c r="D193" s="2" t="s">
        <v>26</v>
      </c>
      <c r="E193" s="2" t="n">
        <v>200</v>
      </c>
      <c r="F193" s="2" t="n">
        <v>1100</v>
      </c>
      <c r="G193" s="2" t="n">
        <v>1100</v>
      </c>
      <c r="H193" s="2" t="n">
        <v>1104</v>
      </c>
      <c r="I193" s="4" t="n">
        <f aca="false">F193/1000</f>
        <v>1.1</v>
      </c>
      <c r="J193" s="4" t="n">
        <f aca="false">G193/1000</f>
        <v>1.1</v>
      </c>
      <c r="K193" s="4" t="n">
        <f aca="false">H193/1000</f>
        <v>1.104</v>
      </c>
    </row>
    <row r="194" customFormat="false" ht="15" hidden="false" customHeight="false" outlineLevel="0" collapsed="false">
      <c r="A194" s="2" t="s">
        <v>58</v>
      </c>
      <c r="B194" s="2" t="n">
        <v>1</v>
      </c>
      <c r="C194" s="2" t="s">
        <v>59</v>
      </c>
      <c r="D194" s="2" t="s">
        <v>27</v>
      </c>
      <c r="E194" s="2" t="n">
        <v>200</v>
      </c>
      <c r="F194" s="2" t="n">
        <v>20000275</v>
      </c>
      <c r="G194" s="2" t="n">
        <v>20000275</v>
      </c>
      <c r="H194" s="2" t="n">
        <v>20000275</v>
      </c>
      <c r="I194" s="4" t="n">
        <f aca="false">F194/1000</f>
        <v>20000.275</v>
      </c>
      <c r="J194" s="4" t="n">
        <f aca="false">G194/1000</f>
        <v>20000.275</v>
      </c>
      <c r="K194" s="4" t="n">
        <f aca="false">H194/1000</f>
        <v>20000.275</v>
      </c>
    </row>
    <row r="195" customFormat="false" ht="15" hidden="false" customHeight="false" outlineLevel="0" collapsed="false">
      <c r="A195" s="2" t="s">
        <v>60</v>
      </c>
      <c r="B195" s="2" t="n">
        <v>1</v>
      </c>
      <c r="C195" s="2" t="s">
        <v>34</v>
      </c>
      <c r="D195" s="2" t="s">
        <v>24</v>
      </c>
      <c r="E195" s="2" t="n">
        <v>200</v>
      </c>
      <c r="F195" s="2" t="n">
        <v>1104</v>
      </c>
      <c r="G195" s="2" t="n">
        <v>1104</v>
      </c>
      <c r="H195" s="2" t="n">
        <v>1104</v>
      </c>
      <c r="I195" s="4" t="n">
        <f aca="false">F195/1000</f>
        <v>1.104</v>
      </c>
      <c r="J195" s="4" t="n">
        <f aca="false">G195/1000</f>
        <v>1.104</v>
      </c>
      <c r="K195" s="4" t="n">
        <f aca="false">H195/1000</f>
        <v>1.104</v>
      </c>
    </row>
    <row r="196" customFormat="false" ht="15" hidden="false" customHeight="false" outlineLevel="0" collapsed="false">
      <c r="A196" s="2" t="s">
        <v>60</v>
      </c>
      <c r="B196" s="2" t="n">
        <v>1</v>
      </c>
      <c r="C196" s="2" t="s">
        <v>34</v>
      </c>
      <c r="D196" s="2" t="s">
        <v>25</v>
      </c>
      <c r="E196" s="2" t="n">
        <v>200</v>
      </c>
      <c r="F196" s="2" t="n">
        <v>3441</v>
      </c>
      <c r="G196" s="2" t="n">
        <v>3441</v>
      </c>
      <c r="H196" s="2" t="n">
        <v>3450</v>
      </c>
      <c r="I196" s="4" t="n">
        <f aca="false">F196/1000</f>
        <v>3.441</v>
      </c>
      <c r="J196" s="4" t="n">
        <f aca="false">G196/1000</f>
        <v>3.441</v>
      </c>
      <c r="K196" s="4" t="n">
        <f aca="false">H196/1000</f>
        <v>3.45</v>
      </c>
    </row>
    <row r="197" customFormat="false" ht="15" hidden="false" customHeight="false" outlineLevel="0" collapsed="false">
      <c r="A197" s="2" t="s">
        <v>60</v>
      </c>
      <c r="B197" s="2" t="n">
        <v>1</v>
      </c>
      <c r="C197" s="2" t="s">
        <v>34</v>
      </c>
      <c r="D197" s="2" t="s">
        <v>26</v>
      </c>
      <c r="E197" s="2" t="n">
        <v>200</v>
      </c>
      <c r="F197" s="2" t="n">
        <v>4545</v>
      </c>
      <c r="G197" s="2" t="n">
        <v>4545</v>
      </c>
      <c r="H197" s="2" t="n">
        <v>4554</v>
      </c>
      <c r="I197" s="4" t="n">
        <f aca="false">F197/1000</f>
        <v>4.545</v>
      </c>
      <c r="J197" s="4" t="n">
        <f aca="false">G197/1000</f>
        <v>4.545</v>
      </c>
      <c r="K197" s="4" t="n">
        <f aca="false">H197/1000</f>
        <v>4.554</v>
      </c>
    </row>
    <row r="198" customFormat="false" ht="15" hidden="false" customHeight="false" outlineLevel="0" collapsed="false">
      <c r="A198" s="2" t="s">
        <v>60</v>
      </c>
      <c r="B198" s="2" t="n">
        <v>1</v>
      </c>
      <c r="C198" s="2" t="s">
        <v>34</v>
      </c>
      <c r="D198" s="2" t="s">
        <v>27</v>
      </c>
      <c r="E198" s="2" t="n">
        <v>200</v>
      </c>
      <c r="F198" s="2" t="n">
        <v>20000287</v>
      </c>
      <c r="G198" s="2" t="n">
        <v>20000287</v>
      </c>
      <c r="H198" s="2" t="n">
        <v>20000300</v>
      </c>
      <c r="I198" s="4" t="n">
        <f aca="false">F198/1000</f>
        <v>20000.287</v>
      </c>
      <c r="J198" s="4" t="n">
        <f aca="false">G198/1000</f>
        <v>20000.287</v>
      </c>
      <c r="K198" s="4" t="n">
        <f aca="false">H198/1000</f>
        <v>20000.3</v>
      </c>
    </row>
    <row r="199" customFormat="false" ht="15" hidden="false" customHeight="false" outlineLevel="0" collapsed="false">
      <c r="A199" s="2" t="s">
        <v>61</v>
      </c>
      <c r="B199" s="2" t="n">
        <v>1</v>
      </c>
      <c r="C199" s="2" t="s">
        <v>23</v>
      </c>
      <c r="D199" s="2" t="s">
        <v>24</v>
      </c>
      <c r="E199" s="2" t="n">
        <v>50</v>
      </c>
      <c r="F199" s="2" t="n">
        <v>1104</v>
      </c>
      <c r="G199" s="2" t="n">
        <v>1104</v>
      </c>
      <c r="H199" s="2" t="n">
        <v>1104</v>
      </c>
      <c r="I199" s="4" t="n">
        <f aca="false">F199/1000</f>
        <v>1.104</v>
      </c>
      <c r="J199" s="4" t="n">
        <f aca="false">G199/1000</f>
        <v>1.104</v>
      </c>
      <c r="K199" s="4" t="n">
        <f aca="false">H199/1000</f>
        <v>1.104</v>
      </c>
    </row>
    <row r="200" customFormat="false" ht="15" hidden="false" customHeight="false" outlineLevel="0" collapsed="false">
      <c r="A200" s="2" t="s">
        <v>61</v>
      </c>
      <c r="B200" s="2" t="n">
        <v>1</v>
      </c>
      <c r="C200" s="2" t="s">
        <v>23</v>
      </c>
      <c r="D200" s="2" t="s">
        <v>25</v>
      </c>
      <c r="E200" s="2" t="n">
        <v>50</v>
      </c>
      <c r="F200" s="2" t="n">
        <v>5604</v>
      </c>
      <c r="G200" s="2" t="n">
        <v>5604</v>
      </c>
      <c r="H200" s="2" t="n">
        <v>5612</v>
      </c>
      <c r="I200" s="4" t="n">
        <f aca="false">F200/1000</f>
        <v>5.604</v>
      </c>
      <c r="J200" s="4" t="n">
        <f aca="false">G200/1000</f>
        <v>5.604</v>
      </c>
      <c r="K200" s="4" t="n">
        <f aca="false">H200/1000</f>
        <v>5.612</v>
      </c>
    </row>
    <row r="201" customFormat="false" ht="15" hidden="false" customHeight="false" outlineLevel="0" collapsed="false">
      <c r="A201" s="2" t="s">
        <v>61</v>
      </c>
      <c r="B201" s="2" t="n">
        <v>1</v>
      </c>
      <c r="C201" s="2" t="s">
        <v>23</v>
      </c>
      <c r="D201" s="2" t="s">
        <v>26</v>
      </c>
      <c r="E201" s="2" t="n">
        <v>50</v>
      </c>
      <c r="F201" s="2" t="n">
        <v>6708</v>
      </c>
      <c r="G201" s="2" t="n">
        <v>6708</v>
      </c>
      <c r="H201" s="2" t="n">
        <v>6716</v>
      </c>
      <c r="I201" s="4" t="n">
        <f aca="false">F201/1000</f>
        <v>6.708</v>
      </c>
      <c r="J201" s="4" t="n">
        <f aca="false">G201/1000</f>
        <v>6.708</v>
      </c>
      <c r="K201" s="4" t="n">
        <f aca="false">H201/1000</f>
        <v>6.716</v>
      </c>
    </row>
    <row r="202" customFormat="false" ht="15" hidden="false" customHeight="false" outlineLevel="0" collapsed="false">
      <c r="A202" s="2" t="s">
        <v>61</v>
      </c>
      <c r="B202" s="2" t="n">
        <v>1</v>
      </c>
      <c r="C202" s="2" t="s">
        <v>23</v>
      </c>
      <c r="D202" s="2" t="s">
        <v>27</v>
      </c>
      <c r="E202" s="2" t="n">
        <v>50</v>
      </c>
      <c r="F202" s="2" t="n">
        <v>100005933</v>
      </c>
      <c r="G202" s="2" t="n">
        <v>100006341</v>
      </c>
      <c r="H202" s="2" t="n">
        <v>100006458</v>
      </c>
      <c r="I202" s="4" t="n">
        <f aca="false">F202/1000</f>
        <v>100005.933</v>
      </c>
      <c r="J202" s="4" t="n">
        <f aca="false">G202/1000</f>
        <v>100006.341</v>
      </c>
      <c r="K202" s="4" t="n">
        <f aca="false">H202/1000</f>
        <v>100006.458</v>
      </c>
    </row>
    <row r="203" customFormat="false" ht="15" hidden="false" customHeight="false" outlineLevel="0" collapsed="false">
      <c r="A203" s="2" t="s">
        <v>62</v>
      </c>
      <c r="B203" s="2" t="n">
        <v>1</v>
      </c>
      <c r="C203" s="2" t="s">
        <v>23</v>
      </c>
      <c r="D203" s="2" t="s">
        <v>24</v>
      </c>
      <c r="E203" s="2" t="n">
        <v>50</v>
      </c>
      <c r="F203" s="2" t="n">
        <v>1104</v>
      </c>
      <c r="G203" s="2" t="n">
        <v>1104</v>
      </c>
      <c r="H203" s="2" t="n">
        <v>1104</v>
      </c>
      <c r="I203" s="4" t="n">
        <f aca="false">F203/1000</f>
        <v>1.104</v>
      </c>
      <c r="J203" s="4" t="n">
        <f aca="false">G203/1000</f>
        <v>1.104</v>
      </c>
      <c r="K203" s="4" t="n">
        <f aca="false">H203/1000</f>
        <v>1.104</v>
      </c>
    </row>
    <row r="204" customFormat="false" ht="15" hidden="false" customHeight="false" outlineLevel="0" collapsed="false">
      <c r="A204" s="2" t="s">
        <v>62</v>
      </c>
      <c r="B204" s="2" t="n">
        <v>1</v>
      </c>
      <c r="C204" s="2" t="s">
        <v>23</v>
      </c>
      <c r="D204" s="2" t="s">
        <v>25</v>
      </c>
      <c r="E204" s="2" t="n">
        <v>26</v>
      </c>
      <c r="F204" s="2" t="n">
        <v>5612</v>
      </c>
      <c r="G204" s="2" t="n">
        <v>26987566</v>
      </c>
      <c r="H204" s="2" t="n">
        <v>99188850</v>
      </c>
      <c r="I204" s="4" t="n">
        <f aca="false">F204/1000</f>
        <v>5.612</v>
      </c>
      <c r="J204" s="4" t="n">
        <f aca="false">G204/1000</f>
        <v>26987.566</v>
      </c>
      <c r="K204" s="4" t="n">
        <f aca="false">H204/1000</f>
        <v>99188.85</v>
      </c>
    </row>
    <row r="205" customFormat="false" ht="15" hidden="false" customHeight="false" outlineLevel="0" collapsed="false">
      <c r="A205" s="2" t="s">
        <v>62</v>
      </c>
      <c r="B205" s="2" t="n">
        <v>1</v>
      </c>
      <c r="C205" s="2" t="s">
        <v>23</v>
      </c>
      <c r="D205" s="2" t="s">
        <v>26</v>
      </c>
      <c r="E205" s="2" t="n">
        <v>26</v>
      </c>
      <c r="F205" s="2" t="n">
        <v>6716</v>
      </c>
      <c r="G205" s="2" t="n">
        <v>26988670</v>
      </c>
      <c r="H205" s="2" t="n">
        <v>99189954</v>
      </c>
      <c r="I205" s="4" t="n">
        <f aca="false">F205/1000</f>
        <v>6.716</v>
      </c>
      <c r="J205" s="4" t="n">
        <f aca="false">G205/1000</f>
        <v>26988.67</v>
      </c>
      <c r="K205" s="4" t="n">
        <f aca="false">H205/1000</f>
        <v>99189.954</v>
      </c>
    </row>
    <row r="206" customFormat="false" ht="15" hidden="false" customHeight="false" outlineLevel="0" collapsed="false">
      <c r="A206" s="2" t="s">
        <v>62</v>
      </c>
      <c r="B206" s="2" t="n">
        <v>1</v>
      </c>
      <c r="C206" s="2" t="s">
        <v>23</v>
      </c>
      <c r="D206" s="2" t="s">
        <v>27</v>
      </c>
      <c r="E206" s="2" t="n">
        <v>26</v>
      </c>
      <c r="F206" s="2" t="n">
        <v>100005933</v>
      </c>
      <c r="G206" s="2" t="n">
        <v>100006258</v>
      </c>
      <c r="H206" s="2" t="n">
        <v>100006462</v>
      </c>
      <c r="I206" s="4" t="n">
        <f aca="false">F206/1000</f>
        <v>100005.933</v>
      </c>
      <c r="J206" s="4" t="n">
        <f aca="false">G206/1000</f>
        <v>100006.258</v>
      </c>
      <c r="K206" s="4" t="n">
        <f aca="false">H206/1000</f>
        <v>100006.462</v>
      </c>
    </row>
    <row r="207" customFormat="false" ht="15" hidden="false" customHeight="false" outlineLevel="0" collapsed="false">
      <c r="A207" s="2" t="s">
        <v>63</v>
      </c>
      <c r="B207" s="2" t="n">
        <v>1</v>
      </c>
      <c r="C207" s="2" t="s">
        <v>23</v>
      </c>
      <c r="D207" s="2" t="s">
        <v>24</v>
      </c>
      <c r="E207" s="2" t="n">
        <v>50</v>
      </c>
      <c r="F207" s="2" t="n">
        <v>1104</v>
      </c>
      <c r="G207" s="2" t="n">
        <v>1104</v>
      </c>
      <c r="H207" s="2" t="n">
        <v>1104</v>
      </c>
      <c r="I207" s="4" t="n">
        <f aca="false">F207/1000</f>
        <v>1.104</v>
      </c>
      <c r="J207" s="4" t="n">
        <f aca="false">G207/1000</f>
        <v>1.104</v>
      </c>
      <c r="K207" s="4" t="n">
        <f aca="false">H207/1000</f>
        <v>1.104</v>
      </c>
    </row>
    <row r="208" customFormat="false" ht="15" hidden="false" customHeight="false" outlineLevel="0" collapsed="false">
      <c r="A208" s="2" t="s">
        <v>63</v>
      </c>
      <c r="B208" s="2" t="n">
        <v>1</v>
      </c>
      <c r="C208" s="2" t="s">
        <v>23</v>
      </c>
      <c r="D208" s="2" t="s">
        <v>25</v>
      </c>
      <c r="E208" s="2" t="n">
        <v>50</v>
      </c>
      <c r="F208" s="2" t="n">
        <v>5604</v>
      </c>
      <c r="G208" s="2" t="n">
        <v>5604</v>
      </c>
      <c r="H208" s="2" t="n">
        <v>5612</v>
      </c>
      <c r="I208" s="4" t="n">
        <f aca="false">F208/1000</f>
        <v>5.604</v>
      </c>
      <c r="J208" s="4" t="n">
        <f aca="false">G208/1000</f>
        <v>5.604</v>
      </c>
      <c r="K208" s="4" t="n">
        <f aca="false">H208/1000</f>
        <v>5.612</v>
      </c>
    </row>
    <row r="209" customFormat="false" ht="15" hidden="false" customHeight="false" outlineLevel="0" collapsed="false">
      <c r="A209" s="2" t="s">
        <v>63</v>
      </c>
      <c r="B209" s="2" t="n">
        <v>1</v>
      </c>
      <c r="C209" s="2" t="s">
        <v>23</v>
      </c>
      <c r="D209" s="2" t="s">
        <v>26</v>
      </c>
      <c r="E209" s="2" t="n">
        <v>50</v>
      </c>
      <c r="F209" s="2" t="n">
        <v>6708</v>
      </c>
      <c r="G209" s="2" t="n">
        <v>6708</v>
      </c>
      <c r="H209" s="2" t="n">
        <v>6716</v>
      </c>
      <c r="I209" s="4" t="n">
        <f aca="false">F209/1000</f>
        <v>6.708</v>
      </c>
      <c r="J209" s="4" t="n">
        <f aca="false">G209/1000</f>
        <v>6.708</v>
      </c>
      <c r="K209" s="4" t="n">
        <f aca="false">H209/1000</f>
        <v>6.716</v>
      </c>
    </row>
    <row r="210" customFormat="false" ht="15" hidden="false" customHeight="false" outlineLevel="0" collapsed="false">
      <c r="A210" s="2" t="s">
        <v>63</v>
      </c>
      <c r="B210" s="2" t="n">
        <v>1</v>
      </c>
      <c r="C210" s="2" t="s">
        <v>23</v>
      </c>
      <c r="D210" s="2" t="s">
        <v>27</v>
      </c>
      <c r="E210" s="2" t="n">
        <v>50</v>
      </c>
      <c r="F210" s="2" t="n">
        <v>100976870</v>
      </c>
      <c r="G210" s="2" t="n">
        <v>100992683</v>
      </c>
      <c r="H210" s="2" t="n">
        <v>100993008</v>
      </c>
      <c r="I210" s="4" t="n">
        <f aca="false">F210/1000</f>
        <v>100976.87</v>
      </c>
      <c r="J210" s="4" t="n">
        <f aca="false">G210/1000</f>
        <v>100992.683</v>
      </c>
      <c r="K210" s="4" t="n">
        <f aca="false">H210/1000</f>
        <v>100993.008</v>
      </c>
    </row>
    <row r="211" customFormat="false" ht="15" hidden="false" customHeight="false" outlineLevel="0" collapsed="false">
      <c r="A211" s="2" t="s">
        <v>64</v>
      </c>
      <c r="B211" s="2" t="n">
        <v>1</v>
      </c>
      <c r="C211" s="2" t="s">
        <v>30</v>
      </c>
      <c r="D211" s="2" t="s">
        <v>24</v>
      </c>
      <c r="E211" s="2" t="n">
        <v>50</v>
      </c>
      <c r="F211" s="2" t="n">
        <v>7983895</v>
      </c>
      <c r="G211" s="2" t="n">
        <v>7999679</v>
      </c>
      <c r="H211" s="2" t="n">
        <v>8000008</v>
      </c>
      <c r="I211" s="4" t="n">
        <f aca="false">F211/1000</f>
        <v>7983.895</v>
      </c>
      <c r="J211" s="4" t="n">
        <f aca="false">G211/1000</f>
        <v>7999.679</v>
      </c>
      <c r="K211" s="4" t="n">
        <f aca="false">H211/1000</f>
        <v>8000.008</v>
      </c>
    </row>
    <row r="212" customFormat="false" ht="15" hidden="false" customHeight="false" outlineLevel="0" collapsed="false">
      <c r="A212" s="2" t="s">
        <v>64</v>
      </c>
      <c r="B212" s="2" t="n">
        <v>1</v>
      </c>
      <c r="C212" s="2" t="s">
        <v>30</v>
      </c>
      <c r="D212" s="2" t="s">
        <v>26</v>
      </c>
      <c r="E212" s="2" t="n">
        <v>50</v>
      </c>
      <c r="F212" s="2" t="n">
        <v>7983895</v>
      </c>
      <c r="G212" s="2" t="n">
        <v>7999679</v>
      </c>
      <c r="H212" s="2" t="n">
        <v>8000008</v>
      </c>
      <c r="I212" s="4" t="n">
        <f aca="false">F212/1000</f>
        <v>7983.895</v>
      </c>
      <c r="J212" s="4" t="n">
        <f aca="false">G212/1000</f>
        <v>7999.679</v>
      </c>
      <c r="K212" s="4" t="n">
        <f aca="false">H212/1000</f>
        <v>8000.008</v>
      </c>
    </row>
    <row r="213" customFormat="false" ht="15" hidden="false" customHeight="false" outlineLevel="0" collapsed="false">
      <c r="A213" s="2" t="s">
        <v>64</v>
      </c>
      <c r="B213" s="2" t="n">
        <v>1</v>
      </c>
      <c r="C213" s="2" t="s">
        <v>30</v>
      </c>
      <c r="D213" s="2" t="s">
        <v>27</v>
      </c>
      <c r="E213" s="2" t="n">
        <v>50</v>
      </c>
      <c r="F213" s="2" t="n">
        <v>100005929</v>
      </c>
      <c r="G213" s="2" t="n">
        <v>100006350</v>
      </c>
      <c r="H213" s="2" t="n">
        <v>100006458</v>
      </c>
      <c r="I213" s="4" t="n">
        <f aca="false">F213/1000</f>
        <v>100005.929</v>
      </c>
      <c r="J213" s="4" t="n">
        <f aca="false">G213/1000</f>
        <v>100006.35</v>
      </c>
      <c r="K213" s="4" t="n">
        <f aca="false">H213/1000</f>
        <v>100006.458</v>
      </c>
    </row>
    <row r="214" customFormat="false" ht="15" hidden="false" customHeight="false" outlineLevel="0" collapsed="false">
      <c r="A214" s="2" t="s">
        <v>65</v>
      </c>
      <c r="B214" s="2" t="n">
        <v>1</v>
      </c>
      <c r="C214" s="2" t="s">
        <v>30</v>
      </c>
      <c r="D214" s="2" t="s">
        <v>24</v>
      </c>
      <c r="E214" s="2" t="n">
        <v>17</v>
      </c>
      <c r="F214" s="2" t="n">
        <v>4583</v>
      </c>
      <c r="G214" s="2" t="n">
        <v>4940529</v>
      </c>
      <c r="H214" s="2" t="n">
        <v>10000004</v>
      </c>
      <c r="I214" s="4" t="n">
        <f aca="false">F214/1000</f>
        <v>4.583</v>
      </c>
      <c r="J214" s="4" t="n">
        <f aca="false">G214/1000</f>
        <v>4940.529</v>
      </c>
      <c r="K214" s="4" t="n">
        <f aca="false">H214/1000</f>
        <v>10000.004</v>
      </c>
    </row>
    <row r="215" customFormat="false" ht="15" hidden="false" customHeight="false" outlineLevel="0" collapsed="false">
      <c r="A215" s="2" t="s">
        <v>65</v>
      </c>
      <c r="B215" s="2" t="n">
        <v>1</v>
      </c>
      <c r="C215" s="2" t="s">
        <v>30</v>
      </c>
      <c r="D215" s="2" t="s">
        <v>26</v>
      </c>
      <c r="E215" s="2" t="n">
        <v>17</v>
      </c>
      <c r="F215" s="2" t="n">
        <v>4583</v>
      </c>
      <c r="G215" s="2" t="n">
        <v>4940529</v>
      </c>
      <c r="H215" s="2" t="n">
        <v>10000004</v>
      </c>
      <c r="I215" s="4" t="n">
        <f aca="false">F215/1000</f>
        <v>4.583</v>
      </c>
      <c r="J215" s="4" t="n">
        <f aca="false">G215/1000</f>
        <v>4940.529</v>
      </c>
      <c r="K215" s="4" t="n">
        <f aca="false">H215/1000</f>
        <v>10000.004</v>
      </c>
    </row>
    <row r="216" customFormat="false" ht="15" hidden="false" customHeight="false" outlineLevel="0" collapsed="false">
      <c r="A216" s="2" t="s">
        <v>65</v>
      </c>
      <c r="B216" s="2" t="n">
        <v>1</v>
      </c>
      <c r="C216" s="2" t="s">
        <v>30</v>
      </c>
      <c r="D216" s="2" t="s">
        <v>27</v>
      </c>
      <c r="E216" s="2" t="n">
        <v>17</v>
      </c>
      <c r="F216" s="2" t="n">
        <v>100005929</v>
      </c>
      <c r="G216" s="2" t="n">
        <v>100006170</v>
      </c>
      <c r="H216" s="2" t="n">
        <v>100006466</v>
      </c>
      <c r="I216" s="4" t="n">
        <f aca="false">F216/1000</f>
        <v>100005.929</v>
      </c>
      <c r="J216" s="4" t="n">
        <f aca="false">G216/1000</f>
        <v>100006.17</v>
      </c>
      <c r="K216" s="4" t="n">
        <f aca="false">H216/1000</f>
        <v>100006.466</v>
      </c>
    </row>
    <row r="217" customFormat="false" ht="15" hidden="false" customHeight="false" outlineLevel="0" collapsed="false">
      <c r="A217" s="2" t="s">
        <v>66</v>
      </c>
      <c r="B217" s="2" t="n">
        <v>1</v>
      </c>
      <c r="C217" s="2" t="s">
        <v>30</v>
      </c>
      <c r="D217" s="2" t="s">
        <v>24</v>
      </c>
      <c r="E217" s="2" t="n">
        <v>50</v>
      </c>
      <c r="F217" s="2" t="n">
        <v>4583</v>
      </c>
      <c r="G217" s="2" t="n">
        <v>4700458</v>
      </c>
      <c r="H217" s="2" t="n">
        <v>10000008</v>
      </c>
      <c r="I217" s="4" t="n">
        <f aca="false">F217/1000</f>
        <v>4.583</v>
      </c>
      <c r="J217" s="4" t="n">
        <f aca="false">G217/1000</f>
        <v>4700.458</v>
      </c>
      <c r="K217" s="4" t="n">
        <f aca="false">H217/1000</f>
        <v>10000.008</v>
      </c>
    </row>
    <row r="218" customFormat="false" ht="15" hidden="false" customHeight="false" outlineLevel="0" collapsed="false">
      <c r="A218" s="2" t="s">
        <v>66</v>
      </c>
      <c r="B218" s="2" t="n">
        <v>1</v>
      </c>
      <c r="C218" s="2" t="s">
        <v>30</v>
      </c>
      <c r="D218" s="2" t="s">
        <v>26</v>
      </c>
      <c r="E218" s="2" t="n">
        <v>50</v>
      </c>
      <c r="F218" s="2" t="n">
        <v>4583</v>
      </c>
      <c r="G218" s="2" t="n">
        <v>4700458</v>
      </c>
      <c r="H218" s="2" t="n">
        <v>10000008</v>
      </c>
      <c r="I218" s="4" t="n">
        <f aca="false">F218/1000</f>
        <v>4.583</v>
      </c>
      <c r="J218" s="4" t="n">
        <f aca="false">G218/1000</f>
        <v>4700.458</v>
      </c>
      <c r="K218" s="4" t="n">
        <f aca="false">H218/1000</f>
        <v>10000.008</v>
      </c>
    </row>
    <row r="219" customFormat="false" ht="15" hidden="false" customHeight="false" outlineLevel="0" collapsed="false">
      <c r="A219" s="2" t="s">
        <v>66</v>
      </c>
      <c r="B219" s="2" t="n">
        <v>1</v>
      </c>
      <c r="C219" s="2" t="s">
        <v>30</v>
      </c>
      <c r="D219" s="2" t="s">
        <v>27</v>
      </c>
      <c r="E219" s="2" t="n">
        <v>50</v>
      </c>
      <c r="F219" s="2" t="n">
        <v>100977420</v>
      </c>
      <c r="G219" s="2" t="n">
        <v>100998708</v>
      </c>
      <c r="H219" s="2" t="n">
        <v>100999645</v>
      </c>
      <c r="I219" s="4" t="n">
        <f aca="false">F219/1000</f>
        <v>100977.42</v>
      </c>
      <c r="J219" s="4" t="n">
        <f aca="false">G219/1000</f>
        <v>100998.708</v>
      </c>
      <c r="K219" s="4" t="n">
        <f aca="false">H219/1000</f>
        <v>100999.645</v>
      </c>
    </row>
    <row r="220" customFormat="false" ht="15" hidden="false" customHeight="false" outlineLevel="0" collapsed="false">
      <c r="A220" s="2" t="s">
        <v>67</v>
      </c>
      <c r="B220" s="2" t="n">
        <v>1</v>
      </c>
      <c r="C220" s="2" t="s">
        <v>34</v>
      </c>
      <c r="D220" s="2" t="s">
        <v>24</v>
      </c>
      <c r="E220" s="2" t="n">
        <v>50</v>
      </c>
      <c r="F220" s="2" t="n">
        <v>1104</v>
      </c>
      <c r="G220" s="2" t="n">
        <v>1104</v>
      </c>
      <c r="H220" s="2" t="n">
        <v>1104</v>
      </c>
      <c r="I220" s="4" t="n">
        <f aca="false">F220/1000</f>
        <v>1.104</v>
      </c>
      <c r="J220" s="4" t="n">
        <f aca="false">G220/1000</f>
        <v>1.104</v>
      </c>
      <c r="K220" s="4" t="n">
        <f aca="false">H220/1000</f>
        <v>1.104</v>
      </c>
    </row>
    <row r="221" customFormat="false" ht="15" hidden="false" customHeight="false" outlineLevel="0" collapsed="false">
      <c r="A221" s="2" t="s">
        <v>67</v>
      </c>
      <c r="B221" s="2" t="n">
        <v>1</v>
      </c>
      <c r="C221" s="2" t="s">
        <v>34</v>
      </c>
      <c r="D221" s="2" t="s">
        <v>25</v>
      </c>
      <c r="E221" s="2" t="n">
        <v>50</v>
      </c>
      <c r="F221" s="2" t="n">
        <v>6212</v>
      </c>
      <c r="G221" s="2" t="n">
        <v>6212</v>
      </c>
      <c r="H221" s="2" t="n">
        <v>6225</v>
      </c>
      <c r="I221" s="4" t="n">
        <f aca="false">F221/1000</f>
        <v>6.212</v>
      </c>
      <c r="J221" s="4" t="n">
        <f aca="false">G221/1000</f>
        <v>6.212</v>
      </c>
      <c r="K221" s="4" t="n">
        <f aca="false">H221/1000</f>
        <v>6.225</v>
      </c>
    </row>
    <row r="222" customFormat="false" ht="15" hidden="false" customHeight="false" outlineLevel="0" collapsed="false">
      <c r="A222" s="2" t="s">
        <v>67</v>
      </c>
      <c r="B222" s="2" t="n">
        <v>1</v>
      </c>
      <c r="C222" s="2" t="s">
        <v>34</v>
      </c>
      <c r="D222" s="2" t="s">
        <v>26</v>
      </c>
      <c r="E222" s="2" t="n">
        <v>50</v>
      </c>
      <c r="F222" s="2" t="n">
        <v>7316</v>
      </c>
      <c r="G222" s="2" t="n">
        <v>7316</v>
      </c>
      <c r="H222" s="2" t="n">
        <v>7329</v>
      </c>
      <c r="I222" s="4" t="n">
        <f aca="false">F222/1000</f>
        <v>7.316</v>
      </c>
      <c r="J222" s="4" t="n">
        <f aca="false">G222/1000</f>
        <v>7.316</v>
      </c>
      <c r="K222" s="4" t="n">
        <f aca="false">H222/1000</f>
        <v>7.329</v>
      </c>
    </row>
    <row r="223" customFormat="false" ht="15" hidden="false" customHeight="false" outlineLevel="0" collapsed="false">
      <c r="A223" s="2" t="s">
        <v>67</v>
      </c>
      <c r="B223" s="2" t="n">
        <v>1</v>
      </c>
      <c r="C223" s="2" t="s">
        <v>34</v>
      </c>
      <c r="D223" s="2" t="s">
        <v>27</v>
      </c>
      <c r="E223" s="2" t="n">
        <v>50</v>
      </c>
      <c r="F223" s="2" t="n">
        <v>100005979</v>
      </c>
      <c r="G223" s="2" t="n">
        <v>100006383</v>
      </c>
      <c r="H223" s="2" t="n">
        <v>100006508</v>
      </c>
      <c r="I223" s="4" t="n">
        <f aca="false">F223/1000</f>
        <v>100005.979</v>
      </c>
      <c r="J223" s="4" t="n">
        <f aca="false">G223/1000</f>
        <v>100006.383</v>
      </c>
      <c r="K223" s="4" t="n">
        <f aca="false">H223/1000</f>
        <v>100006.508</v>
      </c>
    </row>
    <row r="224" customFormat="false" ht="15" hidden="false" customHeight="false" outlineLevel="0" collapsed="false">
      <c r="A224" s="2" t="s">
        <v>68</v>
      </c>
      <c r="B224" s="2" t="n">
        <v>1</v>
      </c>
      <c r="C224" s="2" t="s">
        <v>34</v>
      </c>
      <c r="D224" s="2" t="s">
        <v>24</v>
      </c>
      <c r="E224" s="2" t="n">
        <v>50</v>
      </c>
      <c r="F224" s="2" t="n">
        <v>1104</v>
      </c>
      <c r="G224" s="2" t="n">
        <v>1104</v>
      </c>
      <c r="H224" s="2" t="n">
        <v>1104</v>
      </c>
      <c r="I224" s="4" t="n">
        <f aca="false">F224/1000</f>
        <v>1.104</v>
      </c>
      <c r="J224" s="4" t="n">
        <f aca="false">G224/1000</f>
        <v>1.104</v>
      </c>
      <c r="K224" s="4" t="n">
        <f aca="false">H224/1000</f>
        <v>1.104</v>
      </c>
    </row>
    <row r="225" customFormat="false" ht="15" hidden="false" customHeight="false" outlineLevel="0" collapsed="false">
      <c r="A225" s="2" t="s">
        <v>68</v>
      </c>
      <c r="B225" s="2" t="n">
        <v>1</v>
      </c>
      <c r="C225" s="2" t="s">
        <v>34</v>
      </c>
      <c r="D225" s="2" t="s">
        <v>25</v>
      </c>
      <c r="E225" s="2" t="n">
        <v>26</v>
      </c>
      <c r="F225" s="2" t="n">
        <v>6225</v>
      </c>
      <c r="G225" s="2" t="n">
        <v>26993383</v>
      </c>
      <c r="H225" s="2" t="n">
        <v>99199966</v>
      </c>
      <c r="I225" s="4" t="n">
        <f aca="false">F225/1000</f>
        <v>6.225</v>
      </c>
      <c r="J225" s="4" t="n">
        <f aca="false">G225/1000</f>
        <v>26993.383</v>
      </c>
      <c r="K225" s="4" t="n">
        <f aca="false">H225/1000</f>
        <v>99199.966</v>
      </c>
    </row>
    <row r="226" customFormat="false" ht="15" hidden="false" customHeight="false" outlineLevel="0" collapsed="false">
      <c r="A226" s="2" t="s">
        <v>68</v>
      </c>
      <c r="B226" s="2" t="n">
        <v>1</v>
      </c>
      <c r="C226" s="2" t="s">
        <v>34</v>
      </c>
      <c r="D226" s="2" t="s">
        <v>26</v>
      </c>
      <c r="E226" s="2" t="n">
        <v>26</v>
      </c>
      <c r="F226" s="2" t="n">
        <v>7329</v>
      </c>
      <c r="G226" s="2" t="n">
        <v>26994487</v>
      </c>
      <c r="H226" s="2" t="n">
        <v>99201070</v>
      </c>
      <c r="I226" s="4" t="n">
        <f aca="false">F226/1000</f>
        <v>7.329</v>
      </c>
      <c r="J226" s="4" t="n">
        <f aca="false">G226/1000</f>
        <v>26994.487</v>
      </c>
      <c r="K226" s="4" t="n">
        <f aca="false">H226/1000</f>
        <v>99201.07</v>
      </c>
    </row>
    <row r="227" customFormat="false" ht="15" hidden="false" customHeight="false" outlineLevel="0" collapsed="false">
      <c r="A227" s="2" t="s">
        <v>68</v>
      </c>
      <c r="B227" s="2" t="n">
        <v>1</v>
      </c>
      <c r="C227" s="2" t="s">
        <v>34</v>
      </c>
      <c r="D227" s="2" t="s">
        <v>27</v>
      </c>
      <c r="E227" s="2" t="n">
        <v>26</v>
      </c>
      <c r="F227" s="2" t="n">
        <v>100005975</v>
      </c>
      <c r="G227" s="2" t="n">
        <v>100006308</v>
      </c>
      <c r="H227" s="2" t="n">
        <v>100006512</v>
      </c>
      <c r="I227" s="4" t="n">
        <f aca="false">F227/1000</f>
        <v>100005.975</v>
      </c>
      <c r="J227" s="4" t="n">
        <f aca="false">G227/1000</f>
        <v>100006.308</v>
      </c>
      <c r="K227" s="4" t="n">
        <f aca="false">H227/1000</f>
        <v>100006.512</v>
      </c>
    </row>
    <row r="228" customFormat="false" ht="15" hidden="false" customHeight="false" outlineLevel="0" collapsed="false">
      <c r="A228" s="2" t="s">
        <v>69</v>
      </c>
      <c r="B228" s="2" t="n">
        <v>1</v>
      </c>
      <c r="C228" s="2" t="s">
        <v>34</v>
      </c>
      <c r="D228" s="2" t="s">
        <v>24</v>
      </c>
      <c r="E228" s="2" t="n">
        <v>50</v>
      </c>
      <c r="F228" s="2" t="n">
        <v>1104</v>
      </c>
      <c r="G228" s="2" t="n">
        <v>1104</v>
      </c>
      <c r="H228" s="2" t="n">
        <v>1104</v>
      </c>
      <c r="I228" s="4" t="n">
        <f aca="false">F228/1000</f>
        <v>1.104</v>
      </c>
      <c r="J228" s="4" t="n">
        <f aca="false">G228/1000</f>
        <v>1.104</v>
      </c>
      <c r="K228" s="4" t="n">
        <f aca="false">H228/1000</f>
        <v>1.104</v>
      </c>
    </row>
    <row r="229" customFormat="false" ht="15" hidden="false" customHeight="false" outlineLevel="0" collapsed="false">
      <c r="A229" s="2" t="s">
        <v>69</v>
      </c>
      <c r="B229" s="2" t="n">
        <v>1</v>
      </c>
      <c r="C229" s="2" t="s">
        <v>34</v>
      </c>
      <c r="D229" s="2" t="s">
        <v>25</v>
      </c>
      <c r="E229" s="2" t="n">
        <v>50</v>
      </c>
      <c r="F229" s="2" t="n">
        <v>6216</v>
      </c>
      <c r="G229" s="2" t="n">
        <v>6216</v>
      </c>
      <c r="H229" s="2" t="n">
        <v>6225</v>
      </c>
      <c r="I229" s="4" t="n">
        <f aca="false">F229/1000</f>
        <v>6.216</v>
      </c>
      <c r="J229" s="4" t="n">
        <f aca="false">G229/1000</f>
        <v>6.216</v>
      </c>
      <c r="K229" s="4" t="n">
        <f aca="false">H229/1000</f>
        <v>6.225</v>
      </c>
    </row>
    <row r="230" customFormat="false" ht="15" hidden="false" customHeight="false" outlineLevel="0" collapsed="false">
      <c r="A230" s="2" t="s">
        <v>69</v>
      </c>
      <c r="B230" s="2" t="n">
        <v>1</v>
      </c>
      <c r="C230" s="2" t="s">
        <v>34</v>
      </c>
      <c r="D230" s="2" t="s">
        <v>26</v>
      </c>
      <c r="E230" s="2" t="n">
        <v>50</v>
      </c>
      <c r="F230" s="2" t="n">
        <v>7320</v>
      </c>
      <c r="G230" s="2" t="n">
        <v>7320</v>
      </c>
      <c r="H230" s="2" t="n">
        <v>7329</v>
      </c>
      <c r="I230" s="4" t="n">
        <f aca="false">F230/1000</f>
        <v>7.32</v>
      </c>
      <c r="J230" s="4" t="n">
        <f aca="false">G230/1000</f>
        <v>7.32</v>
      </c>
      <c r="K230" s="4" t="n">
        <f aca="false">H230/1000</f>
        <v>7.329</v>
      </c>
    </row>
    <row r="231" customFormat="false" ht="15" hidden="false" customHeight="false" outlineLevel="0" collapsed="false">
      <c r="A231" s="2" t="s">
        <v>69</v>
      </c>
      <c r="B231" s="2" t="n">
        <v>1</v>
      </c>
      <c r="C231" s="2" t="s">
        <v>34</v>
      </c>
      <c r="D231" s="2" t="s">
        <v>27</v>
      </c>
      <c r="E231" s="2" t="n">
        <v>50</v>
      </c>
      <c r="F231" s="2" t="n">
        <v>100976258</v>
      </c>
      <c r="G231" s="2" t="n">
        <v>100992070</v>
      </c>
      <c r="H231" s="2" t="n">
        <v>100992395</v>
      </c>
      <c r="I231" s="4" t="n">
        <f aca="false">F231/1000</f>
        <v>100976.258</v>
      </c>
      <c r="J231" s="4" t="n">
        <f aca="false">G231/1000</f>
        <v>100992.07</v>
      </c>
      <c r="K231" s="4" t="n">
        <f aca="false">H231/1000</f>
        <v>100992.395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21" min="4" style="0" width="12"/>
  </cols>
  <sheetData>
    <row r="1" customFormat="false" ht="23.8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</row>
    <row r="2" customFormat="false" ht="15" hidden="false" customHeight="false" outlineLevel="0" collapsed="false">
      <c r="A2" s="2" t="s">
        <v>22</v>
      </c>
      <c r="B2" s="2" t="n">
        <v>1</v>
      </c>
      <c r="C2" s="2" t="s">
        <v>23</v>
      </c>
      <c r="D2" s="2" t="n">
        <v>10</v>
      </c>
      <c r="E2" s="2" t="n">
        <v>0</v>
      </c>
      <c r="F2" s="2" t="n">
        <v>97</v>
      </c>
      <c r="G2" s="2" t="n">
        <v>20</v>
      </c>
      <c r="H2" s="2" t="n">
        <v>200</v>
      </c>
      <c r="I2" s="2" t="n">
        <v>200</v>
      </c>
      <c r="J2" s="2" t="n">
        <v>200</v>
      </c>
      <c r="K2" s="2" t="n">
        <v>2</v>
      </c>
      <c r="L2" s="2" t="n">
        <v>0</v>
      </c>
      <c r="M2" s="2" t="n">
        <v>19901</v>
      </c>
      <c r="N2" s="2"/>
      <c r="O2" s="5" t="n">
        <f aca="false">MAX(0,H2-J2)</f>
        <v>0</v>
      </c>
      <c r="P2" s="6" t="n">
        <f aca="false">IF(H2&gt;0,O2/H2,0)</f>
        <v>0</v>
      </c>
      <c r="Q2" s="7" t="n">
        <f aca="false">K2/10000</f>
        <v>0.0002</v>
      </c>
      <c r="R2" s="7" t="n">
        <f aca="false">L2/10000</f>
        <v>0</v>
      </c>
    </row>
    <row r="3" customFormat="false" ht="15" hidden="false" customHeight="false" outlineLevel="0" collapsed="false">
      <c r="A3" s="2" t="s">
        <v>28</v>
      </c>
      <c r="B3" s="2" t="n">
        <v>1</v>
      </c>
      <c r="C3" s="2" t="s">
        <v>23</v>
      </c>
      <c r="D3" s="2" t="n">
        <v>10</v>
      </c>
      <c r="E3" s="2" t="n">
        <v>0</v>
      </c>
      <c r="F3" s="2" t="n">
        <v>97</v>
      </c>
      <c r="G3" s="2" t="n">
        <v>20</v>
      </c>
      <c r="H3" s="2" t="n">
        <v>200</v>
      </c>
      <c r="I3" s="2" t="n">
        <v>200</v>
      </c>
      <c r="J3" s="2" t="n">
        <v>200</v>
      </c>
      <c r="K3" s="2" t="n">
        <v>1</v>
      </c>
      <c r="L3" s="2" t="n">
        <v>0</v>
      </c>
      <c r="M3" s="2" t="n">
        <v>19901</v>
      </c>
      <c r="N3" s="2"/>
      <c r="O3" s="5" t="n">
        <f aca="false">MAX(0,H3-J3)</f>
        <v>0</v>
      </c>
      <c r="P3" s="6" t="n">
        <f aca="false">IF(H3&gt;0,O3/H3,0)</f>
        <v>0</v>
      </c>
      <c r="Q3" s="7" t="n">
        <f aca="false">K3/10000</f>
        <v>0.0001</v>
      </c>
      <c r="R3" s="7" t="n">
        <f aca="false">L3/10000</f>
        <v>0</v>
      </c>
    </row>
    <row r="4" customFormat="false" ht="15" hidden="false" customHeight="false" outlineLevel="0" collapsed="false">
      <c r="A4" s="2" t="s">
        <v>28</v>
      </c>
      <c r="B4" s="2" t="n">
        <v>2</v>
      </c>
      <c r="C4" s="2" t="s">
        <v>23</v>
      </c>
      <c r="D4" s="2" t="n">
        <v>10</v>
      </c>
      <c r="E4" s="2" t="n">
        <v>0</v>
      </c>
      <c r="F4" s="2" t="n">
        <v>97</v>
      </c>
      <c r="G4" s="2" t="n">
        <v>20</v>
      </c>
      <c r="H4" s="2" t="n">
        <v>200</v>
      </c>
      <c r="I4" s="2" t="n">
        <v>200</v>
      </c>
      <c r="J4" s="2" t="n">
        <v>200</v>
      </c>
      <c r="K4" s="2" t="n">
        <v>1</v>
      </c>
      <c r="L4" s="2" t="n">
        <v>0</v>
      </c>
      <c r="M4" s="2" t="n">
        <v>19901</v>
      </c>
      <c r="N4" s="2"/>
      <c r="O4" s="5" t="n">
        <f aca="false">MAX(0,H4-J4)</f>
        <v>0</v>
      </c>
      <c r="P4" s="6" t="n">
        <f aca="false">IF(H4&gt;0,O4/H4,0)</f>
        <v>0</v>
      </c>
      <c r="Q4" s="7" t="n">
        <f aca="false">K4/10000</f>
        <v>0.0001</v>
      </c>
      <c r="R4" s="7" t="n">
        <f aca="false">L4/10000</f>
        <v>0</v>
      </c>
    </row>
    <row r="5" customFormat="false" ht="15" hidden="false" customHeight="false" outlineLevel="0" collapsed="false">
      <c r="A5" s="2" t="s">
        <v>28</v>
      </c>
      <c r="B5" s="2" t="n">
        <v>3</v>
      </c>
      <c r="C5" s="2" t="s">
        <v>23</v>
      </c>
      <c r="D5" s="2" t="n">
        <v>10</v>
      </c>
      <c r="E5" s="2" t="n">
        <v>0</v>
      </c>
      <c r="F5" s="2" t="n">
        <v>97</v>
      </c>
      <c r="G5" s="2" t="n">
        <v>20</v>
      </c>
      <c r="H5" s="2" t="n">
        <v>200</v>
      </c>
      <c r="I5" s="2" t="n">
        <v>200</v>
      </c>
      <c r="J5" s="2" t="n">
        <v>200</v>
      </c>
      <c r="K5" s="2" t="n">
        <v>1</v>
      </c>
      <c r="L5" s="2" t="n">
        <v>0</v>
      </c>
      <c r="M5" s="2" t="n">
        <v>19901</v>
      </c>
      <c r="N5" s="2"/>
      <c r="O5" s="5" t="n">
        <f aca="false">MAX(0,H5-J5)</f>
        <v>0</v>
      </c>
      <c r="P5" s="6" t="n">
        <f aca="false">IF(H5&gt;0,O5/H5,0)</f>
        <v>0</v>
      </c>
      <c r="Q5" s="7" t="n">
        <f aca="false">K5/10000</f>
        <v>0.0001</v>
      </c>
      <c r="R5" s="7" t="n">
        <f aca="false">L5/10000</f>
        <v>0</v>
      </c>
    </row>
    <row r="6" customFormat="false" ht="15" hidden="false" customHeight="false" outlineLevel="0" collapsed="false">
      <c r="A6" s="2" t="s">
        <v>29</v>
      </c>
      <c r="B6" s="2" t="n">
        <v>1</v>
      </c>
      <c r="C6" s="2" t="s">
        <v>30</v>
      </c>
      <c r="D6" s="2" t="n">
        <v>10</v>
      </c>
      <c r="E6" s="2" t="n">
        <v>0</v>
      </c>
      <c r="F6" s="2" t="n">
        <v>97</v>
      </c>
      <c r="G6" s="2" t="n">
        <v>20</v>
      </c>
      <c r="H6" s="2" t="n">
        <v>200</v>
      </c>
      <c r="I6" s="2" t="n">
        <v>200</v>
      </c>
      <c r="J6" s="2" t="n">
        <v>200</v>
      </c>
      <c r="K6" s="2" t="n">
        <v>5</v>
      </c>
      <c r="L6" s="2" t="n">
        <v>0</v>
      </c>
      <c r="M6" s="2" t="n">
        <v>19901</v>
      </c>
      <c r="N6" s="2"/>
      <c r="O6" s="5" t="n">
        <f aca="false">MAX(0,H6-J6)</f>
        <v>0</v>
      </c>
      <c r="P6" s="6" t="n">
        <f aca="false">IF(H6&gt;0,O6/H6,0)</f>
        <v>0</v>
      </c>
      <c r="Q6" s="7" t="n">
        <f aca="false">K6/10000</f>
        <v>0.0005</v>
      </c>
      <c r="R6" s="7" t="n">
        <f aca="false">L6/10000</f>
        <v>0</v>
      </c>
    </row>
    <row r="7" customFormat="false" ht="15" hidden="false" customHeight="false" outlineLevel="0" collapsed="false">
      <c r="A7" s="2" t="s">
        <v>31</v>
      </c>
      <c r="B7" s="2" t="n">
        <v>1</v>
      </c>
      <c r="C7" s="2" t="s">
        <v>30</v>
      </c>
      <c r="D7" s="2" t="n">
        <v>10</v>
      </c>
      <c r="E7" s="2" t="n">
        <v>0</v>
      </c>
      <c r="F7" s="2" t="n">
        <v>95</v>
      </c>
      <c r="G7" s="2" t="n">
        <v>20</v>
      </c>
      <c r="H7" s="2" t="n">
        <v>200</v>
      </c>
      <c r="I7" s="2" t="n">
        <v>200</v>
      </c>
      <c r="J7" s="2" t="n">
        <v>200</v>
      </c>
      <c r="K7" s="2" t="n">
        <v>2</v>
      </c>
      <c r="L7" s="2" t="n">
        <v>0</v>
      </c>
      <c r="M7" s="2" t="n">
        <v>19501</v>
      </c>
      <c r="N7" s="2"/>
      <c r="O7" s="5" t="n">
        <f aca="false">MAX(0,H7-J7)</f>
        <v>0</v>
      </c>
      <c r="P7" s="6" t="n">
        <f aca="false">IF(H7&gt;0,O7/H7,0)</f>
        <v>0</v>
      </c>
      <c r="Q7" s="7" t="n">
        <f aca="false">K7/10000</f>
        <v>0.0002</v>
      </c>
      <c r="R7" s="7" t="n">
        <f aca="false">L7/10000</f>
        <v>0</v>
      </c>
    </row>
    <row r="8" customFormat="false" ht="15" hidden="false" customHeight="false" outlineLevel="0" collapsed="false">
      <c r="A8" s="2" t="s">
        <v>31</v>
      </c>
      <c r="B8" s="2" t="n">
        <v>2</v>
      </c>
      <c r="C8" s="2" t="s">
        <v>30</v>
      </c>
      <c r="D8" s="2" t="n">
        <v>10</v>
      </c>
      <c r="E8" s="2" t="n">
        <v>0</v>
      </c>
      <c r="F8" s="2" t="n">
        <v>95</v>
      </c>
      <c r="G8" s="2" t="n">
        <v>20</v>
      </c>
      <c r="H8" s="2" t="n">
        <v>200</v>
      </c>
      <c r="I8" s="2" t="n">
        <v>200</v>
      </c>
      <c r="J8" s="2" t="n">
        <v>200</v>
      </c>
      <c r="K8" s="2" t="n">
        <v>2</v>
      </c>
      <c r="L8" s="2" t="n">
        <v>0</v>
      </c>
      <c r="M8" s="2" t="n">
        <v>19501</v>
      </c>
      <c r="N8" s="2"/>
      <c r="O8" s="5" t="n">
        <f aca="false">MAX(0,H8-J8)</f>
        <v>0</v>
      </c>
      <c r="P8" s="6" t="n">
        <f aca="false">IF(H8&gt;0,O8/H8,0)</f>
        <v>0</v>
      </c>
      <c r="Q8" s="7" t="n">
        <f aca="false">K8/10000</f>
        <v>0.0002</v>
      </c>
      <c r="R8" s="7" t="n">
        <f aca="false">L8/10000</f>
        <v>0</v>
      </c>
    </row>
    <row r="9" customFormat="false" ht="15" hidden="false" customHeight="false" outlineLevel="0" collapsed="false">
      <c r="A9" s="2" t="s">
        <v>31</v>
      </c>
      <c r="B9" s="2" t="n">
        <v>3</v>
      </c>
      <c r="C9" s="2" t="s">
        <v>30</v>
      </c>
      <c r="D9" s="2" t="n">
        <v>10</v>
      </c>
      <c r="E9" s="2" t="n">
        <v>0</v>
      </c>
      <c r="F9" s="2" t="n">
        <v>95</v>
      </c>
      <c r="G9" s="2" t="n">
        <v>20</v>
      </c>
      <c r="H9" s="2" t="n">
        <v>200</v>
      </c>
      <c r="I9" s="2" t="n">
        <v>200</v>
      </c>
      <c r="J9" s="2" t="n">
        <v>200</v>
      </c>
      <c r="K9" s="2" t="n">
        <v>2</v>
      </c>
      <c r="L9" s="2" t="n">
        <v>0</v>
      </c>
      <c r="M9" s="2" t="n">
        <v>19501</v>
      </c>
      <c r="N9" s="2"/>
      <c r="O9" s="5" t="n">
        <f aca="false">MAX(0,H9-J9)</f>
        <v>0</v>
      </c>
      <c r="P9" s="6" t="n">
        <f aca="false">IF(H9&gt;0,O9/H9,0)</f>
        <v>0</v>
      </c>
      <c r="Q9" s="7" t="n">
        <f aca="false">K9/10000</f>
        <v>0.0002</v>
      </c>
      <c r="R9" s="7" t="n">
        <f aca="false">L9/10000</f>
        <v>0</v>
      </c>
    </row>
    <row r="10" customFormat="false" ht="15" hidden="false" customHeight="false" outlineLevel="0" collapsed="false">
      <c r="A10" s="2" t="s">
        <v>32</v>
      </c>
      <c r="B10" s="2" t="n">
        <v>1</v>
      </c>
      <c r="C10" s="2" t="s">
        <v>30</v>
      </c>
      <c r="D10" s="2" t="n">
        <v>10</v>
      </c>
      <c r="E10" s="2" t="n">
        <v>0</v>
      </c>
      <c r="F10" s="2" t="n">
        <v>97</v>
      </c>
      <c r="G10" s="2" t="n">
        <v>20</v>
      </c>
      <c r="H10" s="2" t="n">
        <v>200</v>
      </c>
      <c r="I10" s="2" t="n">
        <v>200</v>
      </c>
      <c r="J10" s="2" t="n">
        <v>200</v>
      </c>
      <c r="K10" s="2" t="n">
        <v>2</v>
      </c>
      <c r="L10" s="2" t="n">
        <v>0</v>
      </c>
      <c r="M10" s="2" t="n">
        <v>19901</v>
      </c>
      <c r="N10" s="2"/>
      <c r="O10" s="5" t="n">
        <f aca="false">MAX(0,H10-J10)</f>
        <v>0</v>
      </c>
      <c r="P10" s="6" t="n">
        <f aca="false">IF(H10&gt;0,O10/H10,0)</f>
        <v>0</v>
      </c>
      <c r="Q10" s="7" t="n">
        <f aca="false">K10/10000</f>
        <v>0.0002</v>
      </c>
      <c r="R10" s="7" t="n">
        <f aca="false">L10/10000</f>
        <v>0</v>
      </c>
    </row>
    <row r="11" customFormat="false" ht="15" hidden="false" customHeight="false" outlineLevel="0" collapsed="false">
      <c r="A11" s="2" t="s">
        <v>32</v>
      </c>
      <c r="B11" s="2" t="n">
        <v>2</v>
      </c>
      <c r="C11" s="2" t="s">
        <v>30</v>
      </c>
      <c r="D11" s="2" t="n">
        <v>10</v>
      </c>
      <c r="E11" s="2" t="n">
        <v>0</v>
      </c>
      <c r="F11" s="2" t="n">
        <v>97</v>
      </c>
      <c r="G11" s="2" t="n">
        <v>20</v>
      </c>
      <c r="H11" s="2" t="n">
        <v>200</v>
      </c>
      <c r="I11" s="2" t="n">
        <v>200</v>
      </c>
      <c r="J11" s="2" t="n">
        <v>200</v>
      </c>
      <c r="K11" s="2" t="n">
        <v>2</v>
      </c>
      <c r="L11" s="2" t="n">
        <v>0</v>
      </c>
      <c r="M11" s="2" t="n">
        <v>19901</v>
      </c>
      <c r="N11" s="2"/>
      <c r="O11" s="5" t="n">
        <f aca="false">MAX(0,H11-J11)</f>
        <v>0</v>
      </c>
      <c r="P11" s="6" t="n">
        <f aca="false">IF(H11&gt;0,O11/H11,0)</f>
        <v>0</v>
      </c>
      <c r="Q11" s="7" t="n">
        <f aca="false">K11/10000</f>
        <v>0.0002</v>
      </c>
      <c r="R11" s="7" t="n">
        <f aca="false">L11/10000</f>
        <v>0</v>
      </c>
    </row>
    <row r="12" customFormat="false" ht="15" hidden="false" customHeight="false" outlineLevel="0" collapsed="false">
      <c r="A12" s="2" t="s">
        <v>32</v>
      </c>
      <c r="B12" s="2" t="n">
        <v>3</v>
      </c>
      <c r="C12" s="2" t="s">
        <v>30</v>
      </c>
      <c r="D12" s="2" t="n">
        <v>10</v>
      </c>
      <c r="E12" s="2" t="n">
        <v>0</v>
      </c>
      <c r="F12" s="2" t="n">
        <v>97</v>
      </c>
      <c r="G12" s="2" t="n">
        <v>20</v>
      </c>
      <c r="H12" s="2" t="n">
        <v>200</v>
      </c>
      <c r="I12" s="2" t="n">
        <v>200</v>
      </c>
      <c r="J12" s="2" t="n">
        <v>200</v>
      </c>
      <c r="K12" s="2" t="n">
        <v>2</v>
      </c>
      <c r="L12" s="2" t="n">
        <v>0</v>
      </c>
      <c r="M12" s="2" t="n">
        <v>19901</v>
      </c>
      <c r="N12" s="2"/>
      <c r="O12" s="5" t="n">
        <f aca="false">MAX(0,H12-J12)</f>
        <v>0</v>
      </c>
      <c r="P12" s="6" t="n">
        <f aca="false">IF(H12&gt;0,O12/H12,0)</f>
        <v>0</v>
      </c>
      <c r="Q12" s="7" t="n">
        <f aca="false">K12/10000</f>
        <v>0.0002</v>
      </c>
      <c r="R12" s="7" t="n">
        <f aca="false">L12/10000</f>
        <v>0</v>
      </c>
    </row>
    <row r="13" customFormat="false" ht="15" hidden="false" customHeight="false" outlineLevel="0" collapsed="false">
      <c r="A13" s="2" t="s">
        <v>33</v>
      </c>
      <c r="B13" s="2" t="n">
        <v>1</v>
      </c>
      <c r="C13" s="2" t="s">
        <v>34</v>
      </c>
      <c r="D13" s="2" t="n">
        <v>10</v>
      </c>
      <c r="E13" s="2" t="n">
        <v>0</v>
      </c>
      <c r="F13" s="2" t="n">
        <v>97</v>
      </c>
      <c r="G13" s="2" t="n">
        <v>20</v>
      </c>
      <c r="H13" s="2" t="n">
        <v>200</v>
      </c>
      <c r="I13" s="2" t="n">
        <v>200</v>
      </c>
      <c r="J13" s="2" t="n">
        <v>200</v>
      </c>
      <c r="K13" s="2" t="n">
        <v>2</v>
      </c>
      <c r="L13" s="2" t="n">
        <v>0</v>
      </c>
      <c r="M13" s="2" t="n">
        <v>19901</v>
      </c>
      <c r="N13" s="2"/>
      <c r="O13" s="5" t="n">
        <f aca="false">MAX(0,H13-J13)</f>
        <v>0</v>
      </c>
      <c r="P13" s="6" t="n">
        <f aca="false">IF(H13&gt;0,O13/H13,0)</f>
        <v>0</v>
      </c>
      <c r="Q13" s="7" t="n">
        <f aca="false">K13/10000</f>
        <v>0.0002</v>
      </c>
      <c r="R13" s="7" t="n">
        <f aca="false">L13/10000</f>
        <v>0</v>
      </c>
    </row>
    <row r="14" customFormat="false" ht="15" hidden="false" customHeight="false" outlineLevel="0" collapsed="false">
      <c r="A14" s="2" t="s">
        <v>35</v>
      </c>
      <c r="B14" s="2" t="n">
        <v>1</v>
      </c>
      <c r="C14" s="2" t="s">
        <v>34</v>
      </c>
      <c r="D14" s="2" t="n">
        <v>10</v>
      </c>
      <c r="E14" s="2" t="n">
        <v>0</v>
      </c>
      <c r="F14" s="2" t="n">
        <v>97</v>
      </c>
      <c r="G14" s="2" t="n">
        <v>20</v>
      </c>
      <c r="H14" s="2" t="n">
        <v>200</v>
      </c>
      <c r="I14" s="2" t="n">
        <v>200</v>
      </c>
      <c r="J14" s="2" t="n">
        <v>200</v>
      </c>
      <c r="K14" s="2" t="n">
        <v>1</v>
      </c>
      <c r="L14" s="2" t="n">
        <v>0</v>
      </c>
      <c r="M14" s="2" t="n">
        <v>19901</v>
      </c>
      <c r="N14" s="2"/>
      <c r="O14" s="5" t="n">
        <f aca="false">MAX(0,H14-J14)</f>
        <v>0</v>
      </c>
      <c r="P14" s="6" t="n">
        <f aca="false">IF(H14&gt;0,O14/H14,0)</f>
        <v>0</v>
      </c>
      <c r="Q14" s="7" t="n">
        <f aca="false">K14/10000</f>
        <v>0.0001</v>
      </c>
      <c r="R14" s="7" t="n">
        <f aca="false">L14/10000</f>
        <v>0</v>
      </c>
    </row>
    <row r="15" customFormat="false" ht="15" hidden="false" customHeight="false" outlineLevel="0" collapsed="false">
      <c r="A15" s="2" t="s">
        <v>35</v>
      </c>
      <c r="B15" s="2" t="n">
        <v>2</v>
      </c>
      <c r="C15" s="2" t="s">
        <v>34</v>
      </c>
      <c r="D15" s="2" t="n">
        <v>10</v>
      </c>
      <c r="E15" s="2" t="n">
        <v>0</v>
      </c>
      <c r="F15" s="2" t="n">
        <v>97</v>
      </c>
      <c r="G15" s="2" t="n">
        <v>20</v>
      </c>
      <c r="H15" s="2" t="n">
        <v>200</v>
      </c>
      <c r="I15" s="2" t="n">
        <v>200</v>
      </c>
      <c r="J15" s="2" t="n">
        <v>200</v>
      </c>
      <c r="K15" s="2" t="n">
        <v>1</v>
      </c>
      <c r="L15" s="2" t="n">
        <v>0</v>
      </c>
      <c r="M15" s="2" t="n">
        <v>19901</v>
      </c>
      <c r="N15" s="2"/>
      <c r="O15" s="5" t="n">
        <f aca="false">MAX(0,H15-J15)</f>
        <v>0</v>
      </c>
      <c r="P15" s="6" t="n">
        <f aca="false">IF(H15&gt;0,O15/H15,0)</f>
        <v>0</v>
      </c>
      <c r="Q15" s="7" t="n">
        <f aca="false">K15/10000</f>
        <v>0.0001</v>
      </c>
      <c r="R15" s="7" t="n">
        <f aca="false">L15/10000</f>
        <v>0</v>
      </c>
    </row>
    <row r="16" customFormat="false" ht="15" hidden="false" customHeight="false" outlineLevel="0" collapsed="false">
      <c r="A16" s="2" t="s">
        <v>35</v>
      </c>
      <c r="B16" s="2" t="n">
        <v>3</v>
      </c>
      <c r="C16" s="2" t="s">
        <v>34</v>
      </c>
      <c r="D16" s="2" t="n">
        <v>10</v>
      </c>
      <c r="E16" s="2" t="n">
        <v>0</v>
      </c>
      <c r="F16" s="2" t="n">
        <v>97</v>
      </c>
      <c r="G16" s="2" t="n">
        <v>20</v>
      </c>
      <c r="H16" s="2" t="n">
        <v>200</v>
      </c>
      <c r="I16" s="2" t="n">
        <v>200</v>
      </c>
      <c r="J16" s="2" t="n">
        <v>200</v>
      </c>
      <c r="K16" s="2" t="n">
        <v>1</v>
      </c>
      <c r="L16" s="2" t="n">
        <v>0</v>
      </c>
      <c r="M16" s="2" t="n">
        <v>19901</v>
      </c>
      <c r="N16" s="2"/>
      <c r="O16" s="5" t="n">
        <f aca="false">MAX(0,H16-J16)</f>
        <v>0</v>
      </c>
      <c r="P16" s="6" t="n">
        <f aca="false">IF(H16&gt;0,O16/H16,0)</f>
        <v>0</v>
      </c>
      <c r="Q16" s="7" t="n">
        <f aca="false">K16/10000</f>
        <v>0.0001</v>
      </c>
      <c r="R16" s="7" t="n">
        <f aca="false">L16/10000</f>
        <v>0</v>
      </c>
    </row>
    <row r="17" customFormat="false" ht="15" hidden="false" customHeight="false" outlineLevel="0" collapsed="false">
      <c r="A17" s="2" t="s">
        <v>36</v>
      </c>
      <c r="B17" s="2" t="n">
        <v>1</v>
      </c>
      <c r="C17" s="2" t="s">
        <v>30</v>
      </c>
      <c r="D17" s="2" t="n">
        <v>100</v>
      </c>
      <c r="E17" s="2" t="n">
        <v>0</v>
      </c>
      <c r="F17" s="2" t="n">
        <v>95</v>
      </c>
      <c r="G17" s="2" t="n">
        <v>20</v>
      </c>
      <c r="H17" s="2" t="n">
        <v>200</v>
      </c>
      <c r="I17" s="2" t="n">
        <v>9</v>
      </c>
      <c r="J17" s="2" t="n">
        <v>9</v>
      </c>
      <c r="K17" s="2" t="n">
        <v>0</v>
      </c>
      <c r="L17" s="2" t="n">
        <v>0</v>
      </c>
      <c r="M17" s="2" t="n">
        <v>19501</v>
      </c>
      <c r="N17" s="2"/>
      <c r="O17" s="5" t="n">
        <f aca="false">MAX(0,H17-J17)</f>
        <v>191</v>
      </c>
      <c r="P17" s="6" t="n">
        <f aca="false">IF(H17&gt;0,O17/H17,0)</f>
        <v>0.955</v>
      </c>
      <c r="Q17" s="7" t="n">
        <f aca="false">K17/10000</f>
        <v>0</v>
      </c>
      <c r="R17" s="7" t="n">
        <f aca="false">L17/10000</f>
        <v>0</v>
      </c>
    </row>
    <row r="18" customFormat="false" ht="15" hidden="false" customHeight="false" outlineLevel="0" collapsed="false">
      <c r="A18" s="2" t="s">
        <v>36</v>
      </c>
      <c r="B18" s="2" t="n">
        <v>2</v>
      </c>
      <c r="C18" s="2" t="s">
        <v>30</v>
      </c>
      <c r="D18" s="2" t="n">
        <v>100</v>
      </c>
      <c r="E18" s="2" t="n">
        <v>0</v>
      </c>
      <c r="F18" s="2" t="n">
        <v>95</v>
      </c>
      <c r="G18" s="2" t="n">
        <v>20</v>
      </c>
      <c r="H18" s="2" t="n">
        <v>200</v>
      </c>
      <c r="I18" s="2" t="n">
        <v>9</v>
      </c>
      <c r="J18" s="2" t="n">
        <v>9</v>
      </c>
      <c r="K18" s="2" t="n">
        <v>0</v>
      </c>
      <c r="L18" s="2" t="n">
        <v>0</v>
      </c>
      <c r="M18" s="2" t="n">
        <v>19501</v>
      </c>
      <c r="N18" s="2"/>
      <c r="O18" s="5" t="n">
        <f aca="false">MAX(0,H18-J18)</f>
        <v>191</v>
      </c>
      <c r="P18" s="6" t="n">
        <f aca="false">IF(H18&gt;0,O18/H18,0)</f>
        <v>0.955</v>
      </c>
      <c r="Q18" s="7" t="n">
        <f aca="false">K18/10000</f>
        <v>0</v>
      </c>
      <c r="R18" s="7" t="n">
        <f aca="false">L18/10000</f>
        <v>0</v>
      </c>
    </row>
    <row r="19" customFormat="false" ht="15" hidden="false" customHeight="false" outlineLevel="0" collapsed="false">
      <c r="A19" s="2" t="s">
        <v>36</v>
      </c>
      <c r="B19" s="2" t="n">
        <v>3</v>
      </c>
      <c r="C19" s="2" t="s">
        <v>30</v>
      </c>
      <c r="D19" s="2" t="n">
        <v>100</v>
      </c>
      <c r="E19" s="2" t="n">
        <v>0</v>
      </c>
      <c r="F19" s="2" t="n">
        <v>95</v>
      </c>
      <c r="G19" s="2" t="n">
        <v>20</v>
      </c>
      <c r="H19" s="2" t="n">
        <v>200</v>
      </c>
      <c r="I19" s="2" t="n">
        <v>9</v>
      </c>
      <c r="J19" s="2" t="n">
        <v>9</v>
      </c>
      <c r="K19" s="2" t="n">
        <v>0</v>
      </c>
      <c r="L19" s="2" t="n">
        <v>0</v>
      </c>
      <c r="M19" s="2" t="n">
        <v>19501</v>
      </c>
      <c r="N19" s="2"/>
      <c r="O19" s="5" t="n">
        <f aca="false">MAX(0,H19-J19)</f>
        <v>191</v>
      </c>
      <c r="P19" s="6" t="n">
        <f aca="false">IF(H19&gt;0,O19/H19,0)</f>
        <v>0.955</v>
      </c>
      <c r="Q19" s="7" t="n">
        <f aca="false">K19/10000</f>
        <v>0</v>
      </c>
      <c r="R19" s="7" t="n">
        <f aca="false">L19/10000</f>
        <v>0</v>
      </c>
    </row>
    <row r="20" customFormat="false" ht="15" hidden="false" customHeight="false" outlineLevel="0" collapsed="false">
      <c r="A20" s="2" t="s">
        <v>37</v>
      </c>
      <c r="B20" s="2" t="n">
        <v>1</v>
      </c>
      <c r="C20" s="2" t="s">
        <v>30</v>
      </c>
      <c r="D20" s="2" t="n">
        <v>100</v>
      </c>
      <c r="E20" s="2" t="n">
        <v>0</v>
      </c>
      <c r="F20" s="2" t="n">
        <v>95</v>
      </c>
      <c r="G20" s="2" t="n">
        <v>5</v>
      </c>
      <c r="H20" s="2" t="n">
        <v>200</v>
      </c>
      <c r="I20" s="2" t="n">
        <v>8</v>
      </c>
      <c r="J20" s="2" t="n">
        <v>8</v>
      </c>
      <c r="K20" s="2" t="n">
        <v>0</v>
      </c>
      <c r="L20" s="2" t="n">
        <v>0</v>
      </c>
      <c r="M20" s="2" t="n">
        <v>19501</v>
      </c>
      <c r="N20" s="2"/>
      <c r="O20" s="5" t="n">
        <f aca="false">MAX(0,H20-J20)</f>
        <v>192</v>
      </c>
      <c r="P20" s="6" t="n">
        <f aca="false">IF(H20&gt;0,O20/H20,0)</f>
        <v>0.96</v>
      </c>
      <c r="Q20" s="7" t="n">
        <f aca="false">K20/10000</f>
        <v>0</v>
      </c>
      <c r="R20" s="7" t="n">
        <f aca="false">L20/10000</f>
        <v>0</v>
      </c>
    </row>
    <row r="21" customFormat="false" ht="15" hidden="false" customHeight="false" outlineLevel="0" collapsed="false">
      <c r="A21" s="2" t="s">
        <v>37</v>
      </c>
      <c r="B21" s="2" t="n">
        <v>2</v>
      </c>
      <c r="C21" s="2" t="s">
        <v>30</v>
      </c>
      <c r="D21" s="2" t="n">
        <v>100</v>
      </c>
      <c r="E21" s="2" t="n">
        <v>0</v>
      </c>
      <c r="F21" s="2" t="n">
        <v>95</v>
      </c>
      <c r="G21" s="2" t="n">
        <v>5</v>
      </c>
      <c r="H21" s="2" t="n">
        <v>200</v>
      </c>
      <c r="I21" s="2" t="n">
        <v>8</v>
      </c>
      <c r="J21" s="2" t="n">
        <v>8</v>
      </c>
      <c r="K21" s="2" t="n">
        <v>0</v>
      </c>
      <c r="L21" s="2" t="n">
        <v>0</v>
      </c>
      <c r="M21" s="2" t="n">
        <v>19501</v>
      </c>
      <c r="N21" s="2"/>
      <c r="O21" s="5" t="n">
        <f aca="false">MAX(0,H21-J21)</f>
        <v>192</v>
      </c>
      <c r="P21" s="6" t="n">
        <f aca="false">IF(H21&gt;0,O21/H21,0)</f>
        <v>0.96</v>
      </c>
      <c r="Q21" s="7" t="n">
        <f aca="false">K21/10000</f>
        <v>0</v>
      </c>
      <c r="R21" s="7" t="n">
        <f aca="false">L21/10000</f>
        <v>0</v>
      </c>
    </row>
    <row r="22" customFormat="false" ht="15" hidden="false" customHeight="false" outlineLevel="0" collapsed="false">
      <c r="A22" s="2" t="s">
        <v>37</v>
      </c>
      <c r="B22" s="2" t="n">
        <v>3</v>
      </c>
      <c r="C22" s="2" t="s">
        <v>30</v>
      </c>
      <c r="D22" s="2" t="n">
        <v>100</v>
      </c>
      <c r="E22" s="2" t="n">
        <v>0</v>
      </c>
      <c r="F22" s="2" t="n">
        <v>95</v>
      </c>
      <c r="G22" s="2" t="n">
        <v>5</v>
      </c>
      <c r="H22" s="2" t="n">
        <v>200</v>
      </c>
      <c r="I22" s="2" t="n">
        <v>8</v>
      </c>
      <c r="J22" s="2" t="n">
        <v>8</v>
      </c>
      <c r="K22" s="2" t="n">
        <v>0</v>
      </c>
      <c r="L22" s="2" t="n">
        <v>0</v>
      </c>
      <c r="M22" s="2" t="n">
        <v>19501</v>
      </c>
      <c r="N22" s="2"/>
      <c r="O22" s="5" t="n">
        <f aca="false">MAX(0,H22-J22)</f>
        <v>192</v>
      </c>
      <c r="P22" s="6" t="n">
        <f aca="false">IF(H22&gt;0,O22/H22,0)</f>
        <v>0.96</v>
      </c>
      <c r="Q22" s="7" t="n">
        <f aca="false">K22/10000</f>
        <v>0</v>
      </c>
      <c r="R22" s="7" t="n">
        <f aca="false">L22/10000</f>
        <v>0</v>
      </c>
    </row>
    <row r="23" customFormat="false" ht="15" hidden="false" customHeight="false" outlineLevel="0" collapsed="false">
      <c r="A23" s="2" t="s">
        <v>38</v>
      </c>
      <c r="B23" s="2" t="n">
        <v>1</v>
      </c>
      <c r="C23" s="2" t="s">
        <v>30</v>
      </c>
      <c r="D23" s="2" t="n">
        <v>10</v>
      </c>
      <c r="E23" s="2" t="n">
        <v>0</v>
      </c>
      <c r="F23" s="2" t="n">
        <v>95</v>
      </c>
      <c r="G23" s="2" t="n">
        <v>20</v>
      </c>
      <c r="H23" s="2" t="n">
        <v>200</v>
      </c>
      <c r="I23" s="2" t="n">
        <v>200</v>
      </c>
      <c r="J23" s="2" t="n">
        <v>200</v>
      </c>
      <c r="K23" s="2" t="n">
        <v>2</v>
      </c>
      <c r="L23" s="2" t="n">
        <v>0</v>
      </c>
      <c r="M23" s="2" t="n">
        <v>19501</v>
      </c>
      <c r="N23" s="2"/>
      <c r="O23" s="5" t="n">
        <f aca="false">MAX(0,H23-J23)</f>
        <v>0</v>
      </c>
      <c r="P23" s="6" t="n">
        <f aca="false">IF(H23&gt;0,O23/H23,0)</f>
        <v>0</v>
      </c>
      <c r="Q23" s="7" t="n">
        <f aca="false">K23/10000</f>
        <v>0.0002</v>
      </c>
      <c r="R23" s="7" t="n">
        <f aca="false">L23/10000</f>
        <v>0</v>
      </c>
    </row>
    <row r="24" customFormat="false" ht="15" hidden="false" customHeight="false" outlineLevel="0" collapsed="false">
      <c r="A24" s="2" t="s">
        <v>38</v>
      </c>
      <c r="B24" s="2" t="n">
        <v>2</v>
      </c>
      <c r="C24" s="2" t="s">
        <v>30</v>
      </c>
      <c r="D24" s="2" t="n">
        <v>10</v>
      </c>
      <c r="E24" s="2" t="n">
        <v>0</v>
      </c>
      <c r="F24" s="2" t="n">
        <v>95</v>
      </c>
      <c r="G24" s="2" t="n">
        <v>20</v>
      </c>
      <c r="H24" s="2" t="n">
        <v>200</v>
      </c>
      <c r="I24" s="2" t="n">
        <v>200</v>
      </c>
      <c r="J24" s="2" t="n">
        <v>200</v>
      </c>
      <c r="K24" s="2" t="n">
        <v>2</v>
      </c>
      <c r="L24" s="2" t="n">
        <v>0</v>
      </c>
      <c r="M24" s="2" t="n">
        <v>19501</v>
      </c>
      <c r="N24" s="2"/>
      <c r="O24" s="5" t="n">
        <f aca="false">MAX(0,H24-J24)</f>
        <v>0</v>
      </c>
      <c r="P24" s="6" t="n">
        <f aca="false">IF(H24&gt;0,O24/H24,0)</f>
        <v>0</v>
      </c>
      <c r="Q24" s="7" t="n">
        <f aca="false">K24/10000</f>
        <v>0.0002</v>
      </c>
      <c r="R24" s="7" t="n">
        <f aca="false">L24/10000</f>
        <v>0</v>
      </c>
    </row>
    <row r="25" customFormat="false" ht="15" hidden="false" customHeight="false" outlineLevel="0" collapsed="false">
      <c r="A25" s="2" t="s">
        <v>38</v>
      </c>
      <c r="B25" s="2" t="n">
        <v>3</v>
      </c>
      <c r="C25" s="2" t="s">
        <v>30</v>
      </c>
      <c r="D25" s="2" t="n">
        <v>10</v>
      </c>
      <c r="E25" s="2" t="n">
        <v>0</v>
      </c>
      <c r="F25" s="2" t="n">
        <v>95</v>
      </c>
      <c r="G25" s="2" t="n">
        <v>20</v>
      </c>
      <c r="H25" s="2" t="n">
        <v>200</v>
      </c>
      <c r="I25" s="2" t="n">
        <v>200</v>
      </c>
      <c r="J25" s="2" t="n">
        <v>200</v>
      </c>
      <c r="K25" s="2" t="n">
        <v>2</v>
      </c>
      <c r="L25" s="2" t="n">
        <v>0</v>
      </c>
      <c r="M25" s="2" t="n">
        <v>19501</v>
      </c>
      <c r="N25" s="2"/>
      <c r="O25" s="5" t="n">
        <f aca="false">MAX(0,H25-J25)</f>
        <v>0</v>
      </c>
      <c r="P25" s="6" t="n">
        <f aca="false">IF(H25&gt;0,O25/H25,0)</f>
        <v>0</v>
      </c>
      <c r="Q25" s="7" t="n">
        <f aca="false">K25/10000</f>
        <v>0.0002</v>
      </c>
      <c r="R25" s="7" t="n">
        <f aca="false">L25/10000</f>
        <v>0</v>
      </c>
    </row>
    <row r="26" customFormat="false" ht="15" hidden="false" customHeight="false" outlineLevel="0" collapsed="false">
      <c r="A26" s="2" t="s">
        <v>39</v>
      </c>
      <c r="B26" s="2" t="n">
        <v>1</v>
      </c>
      <c r="C26" s="2" t="s">
        <v>30</v>
      </c>
      <c r="D26" s="2" t="n">
        <v>10</v>
      </c>
      <c r="E26" s="2" t="n">
        <v>0</v>
      </c>
      <c r="F26" s="2" t="n">
        <v>95</v>
      </c>
      <c r="G26" s="2" t="n">
        <v>5</v>
      </c>
      <c r="H26" s="2" t="n">
        <v>200</v>
      </c>
      <c r="I26" s="2" t="n">
        <v>108</v>
      </c>
      <c r="J26" s="2" t="n">
        <v>108</v>
      </c>
      <c r="K26" s="2" t="n">
        <v>2</v>
      </c>
      <c r="L26" s="2" t="n">
        <v>0</v>
      </c>
      <c r="M26" s="2" t="n">
        <v>19501</v>
      </c>
      <c r="N26" s="2"/>
      <c r="O26" s="5" t="n">
        <f aca="false">MAX(0,H26-J26)</f>
        <v>92</v>
      </c>
      <c r="P26" s="6" t="n">
        <f aca="false">IF(H26&gt;0,O26/H26,0)</f>
        <v>0.46</v>
      </c>
      <c r="Q26" s="7" t="n">
        <f aca="false">K26/10000</f>
        <v>0.0002</v>
      </c>
      <c r="R26" s="7" t="n">
        <f aca="false">L26/10000</f>
        <v>0</v>
      </c>
    </row>
    <row r="27" customFormat="false" ht="15" hidden="false" customHeight="false" outlineLevel="0" collapsed="false">
      <c r="A27" s="2" t="s">
        <v>39</v>
      </c>
      <c r="B27" s="2" t="n">
        <v>2</v>
      </c>
      <c r="C27" s="2" t="s">
        <v>30</v>
      </c>
      <c r="D27" s="2" t="n">
        <v>10</v>
      </c>
      <c r="E27" s="2" t="n">
        <v>0</v>
      </c>
      <c r="F27" s="2" t="n">
        <v>95</v>
      </c>
      <c r="G27" s="2" t="n">
        <v>5</v>
      </c>
      <c r="H27" s="2" t="n">
        <v>200</v>
      </c>
      <c r="I27" s="2" t="n">
        <v>108</v>
      </c>
      <c r="J27" s="2" t="n">
        <v>108</v>
      </c>
      <c r="K27" s="2" t="n">
        <v>2</v>
      </c>
      <c r="L27" s="2" t="n">
        <v>0</v>
      </c>
      <c r="M27" s="2" t="n">
        <v>19501</v>
      </c>
      <c r="N27" s="2"/>
      <c r="O27" s="5" t="n">
        <f aca="false">MAX(0,H27-J27)</f>
        <v>92</v>
      </c>
      <c r="P27" s="6" t="n">
        <f aca="false">IF(H27&gt;0,O27/H27,0)</f>
        <v>0.46</v>
      </c>
      <c r="Q27" s="7" t="n">
        <f aca="false">K27/10000</f>
        <v>0.0002</v>
      </c>
      <c r="R27" s="7" t="n">
        <f aca="false">L27/10000</f>
        <v>0</v>
      </c>
    </row>
    <row r="28" customFormat="false" ht="15" hidden="false" customHeight="false" outlineLevel="0" collapsed="false">
      <c r="A28" s="2" t="s">
        <v>39</v>
      </c>
      <c r="B28" s="2" t="n">
        <v>3</v>
      </c>
      <c r="C28" s="2" t="s">
        <v>30</v>
      </c>
      <c r="D28" s="2" t="n">
        <v>10</v>
      </c>
      <c r="E28" s="2" t="n">
        <v>0</v>
      </c>
      <c r="F28" s="2" t="n">
        <v>95</v>
      </c>
      <c r="G28" s="2" t="n">
        <v>5</v>
      </c>
      <c r="H28" s="2" t="n">
        <v>200</v>
      </c>
      <c r="I28" s="2" t="n">
        <v>108</v>
      </c>
      <c r="J28" s="2" t="n">
        <v>108</v>
      </c>
      <c r="K28" s="2" t="n">
        <v>2</v>
      </c>
      <c r="L28" s="2" t="n">
        <v>0</v>
      </c>
      <c r="M28" s="2" t="n">
        <v>19501</v>
      </c>
      <c r="N28" s="2"/>
      <c r="O28" s="5" t="n">
        <f aca="false">MAX(0,H28-J28)</f>
        <v>92</v>
      </c>
      <c r="P28" s="6" t="n">
        <f aca="false">IF(H28&gt;0,O28/H28,0)</f>
        <v>0.46</v>
      </c>
      <c r="Q28" s="7" t="n">
        <f aca="false">K28/10000</f>
        <v>0.0002</v>
      </c>
      <c r="R28" s="7" t="n">
        <f aca="false">L28/10000</f>
        <v>0</v>
      </c>
    </row>
    <row r="29" customFormat="false" ht="15" hidden="false" customHeight="false" outlineLevel="0" collapsed="false">
      <c r="A29" s="2" t="s">
        <v>40</v>
      </c>
      <c r="B29" s="2" t="n">
        <v>1</v>
      </c>
      <c r="C29" s="2" t="s">
        <v>30</v>
      </c>
      <c r="D29" s="2" t="n">
        <v>1</v>
      </c>
      <c r="E29" s="2" t="n">
        <v>0</v>
      </c>
      <c r="F29" s="2" t="n">
        <v>95</v>
      </c>
      <c r="G29" s="2" t="n">
        <v>20</v>
      </c>
      <c r="H29" s="2" t="n">
        <v>200</v>
      </c>
      <c r="I29" s="2" t="n">
        <v>200</v>
      </c>
      <c r="J29" s="2" t="n">
        <v>200</v>
      </c>
      <c r="K29" s="2" t="n">
        <v>12</v>
      </c>
      <c r="L29" s="2" t="n">
        <v>0</v>
      </c>
      <c r="M29" s="2" t="n">
        <v>19501</v>
      </c>
      <c r="N29" s="2"/>
      <c r="O29" s="5" t="n">
        <f aca="false">MAX(0,H29-J29)</f>
        <v>0</v>
      </c>
      <c r="P29" s="6" t="n">
        <f aca="false">IF(H29&gt;0,O29/H29,0)</f>
        <v>0</v>
      </c>
      <c r="Q29" s="7" t="n">
        <f aca="false">K29/10000</f>
        <v>0.0012</v>
      </c>
      <c r="R29" s="7" t="n">
        <f aca="false">L29/10000</f>
        <v>0</v>
      </c>
    </row>
    <row r="30" customFormat="false" ht="15" hidden="false" customHeight="false" outlineLevel="0" collapsed="false">
      <c r="A30" s="2" t="s">
        <v>40</v>
      </c>
      <c r="B30" s="2" t="n">
        <v>2</v>
      </c>
      <c r="C30" s="2" t="s">
        <v>30</v>
      </c>
      <c r="D30" s="2" t="n">
        <v>1</v>
      </c>
      <c r="E30" s="2" t="n">
        <v>0</v>
      </c>
      <c r="F30" s="2" t="n">
        <v>95</v>
      </c>
      <c r="G30" s="2" t="n">
        <v>20</v>
      </c>
      <c r="H30" s="2" t="n">
        <v>200</v>
      </c>
      <c r="I30" s="2" t="n">
        <v>200</v>
      </c>
      <c r="J30" s="2" t="n">
        <v>200</v>
      </c>
      <c r="K30" s="2" t="n">
        <v>12</v>
      </c>
      <c r="L30" s="2" t="n">
        <v>0</v>
      </c>
      <c r="M30" s="2" t="n">
        <v>19501</v>
      </c>
      <c r="N30" s="2"/>
      <c r="O30" s="5" t="n">
        <f aca="false">MAX(0,H30-J30)</f>
        <v>0</v>
      </c>
      <c r="P30" s="6" t="n">
        <f aca="false">IF(H30&gt;0,O30/H30,0)</f>
        <v>0</v>
      </c>
      <c r="Q30" s="7" t="n">
        <f aca="false">K30/10000</f>
        <v>0.0012</v>
      </c>
      <c r="R30" s="7" t="n">
        <f aca="false">L30/10000</f>
        <v>0</v>
      </c>
    </row>
    <row r="31" customFormat="false" ht="15" hidden="false" customHeight="false" outlineLevel="0" collapsed="false">
      <c r="A31" s="2" t="s">
        <v>40</v>
      </c>
      <c r="B31" s="2" t="n">
        <v>3</v>
      </c>
      <c r="C31" s="2" t="s">
        <v>30</v>
      </c>
      <c r="D31" s="2" t="n">
        <v>1</v>
      </c>
      <c r="E31" s="2" t="n">
        <v>0</v>
      </c>
      <c r="F31" s="2" t="n">
        <v>95</v>
      </c>
      <c r="G31" s="2" t="n">
        <v>20</v>
      </c>
      <c r="H31" s="2" t="n">
        <v>200</v>
      </c>
      <c r="I31" s="2" t="n">
        <v>200</v>
      </c>
      <c r="J31" s="2" t="n">
        <v>200</v>
      </c>
      <c r="K31" s="2" t="n">
        <v>12</v>
      </c>
      <c r="L31" s="2" t="n">
        <v>0</v>
      </c>
      <c r="M31" s="2" t="n">
        <v>19501</v>
      </c>
      <c r="N31" s="2"/>
      <c r="O31" s="5" t="n">
        <f aca="false">MAX(0,H31-J31)</f>
        <v>0</v>
      </c>
      <c r="P31" s="6" t="n">
        <f aca="false">IF(H31&gt;0,O31/H31,0)</f>
        <v>0</v>
      </c>
      <c r="Q31" s="7" t="n">
        <f aca="false">K31/10000</f>
        <v>0.0012</v>
      </c>
      <c r="R31" s="7" t="n">
        <f aca="false">L31/10000</f>
        <v>0</v>
      </c>
    </row>
    <row r="32" customFormat="false" ht="15" hidden="false" customHeight="false" outlineLevel="0" collapsed="false">
      <c r="A32" s="2" t="s">
        <v>41</v>
      </c>
      <c r="B32" s="2" t="n">
        <v>1</v>
      </c>
      <c r="C32" s="2" t="s">
        <v>30</v>
      </c>
      <c r="D32" s="2" t="n">
        <v>1</v>
      </c>
      <c r="E32" s="2" t="n">
        <v>0</v>
      </c>
      <c r="F32" s="2" t="n">
        <v>95</v>
      </c>
      <c r="G32" s="2" t="n">
        <v>5</v>
      </c>
      <c r="H32" s="2" t="n">
        <v>200</v>
      </c>
      <c r="I32" s="2" t="n">
        <v>200</v>
      </c>
      <c r="J32" s="2" t="n">
        <v>200</v>
      </c>
      <c r="K32" s="2" t="n">
        <v>12</v>
      </c>
      <c r="L32" s="2" t="n">
        <v>0</v>
      </c>
      <c r="M32" s="2" t="n">
        <v>19501</v>
      </c>
      <c r="N32" s="2"/>
      <c r="O32" s="5" t="n">
        <f aca="false">MAX(0,H32-J32)</f>
        <v>0</v>
      </c>
      <c r="P32" s="6" t="n">
        <f aca="false">IF(H32&gt;0,O32/H32,0)</f>
        <v>0</v>
      </c>
      <c r="Q32" s="7" t="n">
        <f aca="false">K32/10000</f>
        <v>0.0012</v>
      </c>
      <c r="R32" s="7" t="n">
        <f aca="false">L32/10000</f>
        <v>0</v>
      </c>
    </row>
    <row r="33" customFormat="false" ht="15" hidden="false" customHeight="false" outlineLevel="0" collapsed="false">
      <c r="A33" s="2" t="s">
        <v>41</v>
      </c>
      <c r="B33" s="2" t="n">
        <v>2</v>
      </c>
      <c r="C33" s="2" t="s">
        <v>30</v>
      </c>
      <c r="D33" s="2" t="n">
        <v>1</v>
      </c>
      <c r="E33" s="2" t="n">
        <v>0</v>
      </c>
      <c r="F33" s="2" t="n">
        <v>95</v>
      </c>
      <c r="G33" s="2" t="n">
        <v>5</v>
      </c>
      <c r="H33" s="2" t="n">
        <v>200</v>
      </c>
      <c r="I33" s="2" t="n">
        <v>200</v>
      </c>
      <c r="J33" s="2" t="n">
        <v>200</v>
      </c>
      <c r="K33" s="2" t="n">
        <v>12</v>
      </c>
      <c r="L33" s="2" t="n">
        <v>0</v>
      </c>
      <c r="M33" s="2" t="n">
        <v>19501</v>
      </c>
      <c r="N33" s="2"/>
      <c r="O33" s="5" t="n">
        <f aca="false">MAX(0,H33-J33)</f>
        <v>0</v>
      </c>
      <c r="P33" s="6" t="n">
        <f aca="false">IF(H33&gt;0,O33/H33,0)</f>
        <v>0</v>
      </c>
      <c r="Q33" s="7" t="n">
        <f aca="false">K33/10000</f>
        <v>0.0012</v>
      </c>
      <c r="R33" s="7" t="n">
        <f aca="false">L33/10000</f>
        <v>0</v>
      </c>
    </row>
    <row r="34" customFormat="false" ht="15" hidden="false" customHeight="false" outlineLevel="0" collapsed="false">
      <c r="A34" s="2" t="s">
        <v>41</v>
      </c>
      <c r="B34" s="2" t="n">
        <v>3</v>
      </c>
      <c r="C34" s="2" t="s">
        <v>30</v>
      </c>
      <c r="D34" s="2" t="n">
        <v>1</v>
      </c>
      <c r="E34" s="2" t="n">
        <v>0</v>
      </c>
      <c r="F34" s="2" t="n">
        <v>95</v>
      </c>
      <c r="G34" s="2" t="n">
        <v>5</v>
      </c>
      <c r="H34" s="2" t="n">
        <v>200</v>
      </c>
      <c r="I34" s="2" t="n">
        <v>200</v>
      </c>
      <c r="J34" s="2" t="n">
        <v>200</v>
      </c>
      <c r="K34" s="2" t="n">
        <v>12</v>
      </c>
      <c r="L34" s="2" t="n">
        <v>0</v>
      </c>
      <c r="M34" s="2" t="n">
        <v>19501</v>
      </c>
      <c r="N34" s="2"/>
      <c r="O34" s="5" t="n">
        <f aca="false">MAX(0,H34-J34)</f>
        <v>0</v>
      </c>
      <c r="P34" s="6" t="n">
        <f aca="false">IF(H34&gt;0,O34/H34,0)</f>
        <v>0</v>
      </c>
      <c r="Q34" s="7" t="n">
        <f aca="false">K34/10000</f>
        <v>0.0012</v>
      </c>
      <c r="R34" s="7" t="n">
        <f aca="false">L34/10000</f>
        <v>0</v>
      </c>
    </row>
    <row r="35" customFormat="false" ht="15" hidden="false" customHeight="false" outlineLevel="0" collapsed="false">
      <c r="A35" s="2" t="s">
        <v>42</v>
      </c>
      <c r="B35" s="2" t="n">
        <v>1</v>
      </c>
      <c r="C35" s="2" t="s">
        <v>30</v>
      </c>
      <c r="D35" s="2" t="n">
        <v>50</v>
      </c>
      <c r="E35" s="2" t="n">
        <v>0</v>
      </c>
      <c r="F35" s="2" t="n">
        <v>95</v>
      </c>
      <c r="G35" s="2" t="n">
        <v>20</v>
      </c>
      <c r="H35" s="2" t="n">
        <v>200</v>
      </c>
      <c r="I35" s="2" t="n">
        <v>80</v>
      </c>
      <c r="J35" s="2" t="n">
        <v>80</v>
      </c>
      <c r="K35" s="2" t="n">
        <v>0</v>
      </c>
      <c r="L35" s="2" t="n">
        <v>0</v>
      </c>
      <c r="M35" s="2" t="n">
        <v>19501</v>
      </c>
      <c r="N35" s="2"/>
      <c r="O35" s="5" t="n">
        <f aca="false">MAX(0,H35-J35)</f>
        <v>120</v>
      </c>
      <c r="P35" s="6" t="n">
        <f aca="false">IF(H35&gt;0,O35/H35,0)</f>
        <v>0.6</v>
      </c>
      <c r="Q35" s="7" t="n">
        <f aca="false">K35/10000</f>
        <v>0</v>
      </c>
      <c r="R35" s="7" t="n">
        <f aca="false">L35/10000</f>
        <v>0</v>
      </c>
    </row>
    <row r="36" customFormat="false" ht="15" hidden="false" customHeight="false" outlineLevel="0" collapsed="false">
      <c r="A36" s="2" t="s">
        <v>42</v>
      </c>
      <c r="B36" s="2" t="n">
        <v>2</v>
      </c>
      <c r="C36" s="2" t="s">
        <v>30</v>
      </c>
      <c r="D36" s="2" t="n">
        <v>50</v>
      </c>
      <c r="E36" s="2" t="n">
        <v>0</v>
      </c>
      <c r="F36" s="2" t="n">
        <v>95</v>
      </c>
      <c r="G36" s="2" t="n">
        <v>20</v>
      </c>
      <c r="H36" s="2" t="n">
        <v>200</v>
      </c>
      <c r="I36" s="2" t="n">
        <v>80</v>
      </c>
      <c r="J36" s="2" t="n">
        <v>80</v>
      </c>
      <c r="K36" s="2" t="n">
        <v>0</v>
      </c>
      <c r="L36" s="2" t="n">
        <v>0</v>
      </c>
      <c r="M36" s="2" t="n">
        <v>19501</v>
      </c>
      <c r="N36" s="2"/>
      <c r="O36" s="5" t="n">
        <f aca="false">MAX(0,H36-J36)</f>
        <v>120</v>
      </c>
      <c r="P36" s="6" t="n">
        <f aca="false">IF(H36&gt;0,O36/H36,0)</f>
        <v>0.6</v>
      </c>
      <c r="Q36" s="7" t="n">
        <f aca="false">K36/10000</f>
        <v>0</v>
      </c>
      <c r="R36" s="7" t="n">
        <f aca="false">L36/10000</f>
        <v>0</v>
      </c>
    </row>
    <row r="37" customFormat="false" ht="15" hidden="false" customHeight="false" outlineLevel="0" collapsed="false">
      <c r="A37" s="2" t="s">
        <v>42</v>
      </c>
      <c r="B37" s="2" t="n">
        <v>3</v>
      </c>
      <c r="C37" s="2" t="s">
        <v>30</v>
      </c>
      <c r="D37" s="2" t="n">
        <v>50</v>
      </c>
      <c r="E37" s="2" t="n">
        <v>0</v>
      </c>
      <c r="F37" s="2" t="n">
        <v>95</v>
      </c>
      <c r="G37" s="2" t="n">
        <v>20</v>
      </c>
      <c r="H37" s="2" t="n">
        <v>200</v>
      </c>
      <c r="I37" s="2" t="n">
        <v>80</v>
      </c>
      <c r="J37" s="2" t="n">
        <v>80</v>
      </c>
      <c r="K37" s="2" t="n">
        <v>0</v>
      </c>
      <c r="L37" s="2" t="n">
        <v>0</v>
      </c>
      <c r="M37" s="2" t="n">
        <v>19501</v>
      </c>
      <c r="N37" s="2"/>
      <c r="O37" s="5" t="n">
        <f aca="false">MAX(0,H37-J37)</f>
        <v>120</v>
      </c>
      <c r="P37" s="6" t="n">
        <f aca="false">IF(H37&gt;0,O37/H37,0)</f>
        <v>0.6</v>
      </c>
      <c r="Q37" s="7" t="n">
        <f aca="false">K37/10000</f>
        <v>0</v>
      </c>
      <c r="R37" s="7" t="n">
        <f aca="false">L37/10000</f>
        <v>0</v>
      </c>
    </row>
    <row r="38" customFormat="false" ht="15" hidden="false" customHeight="false" outlineLevel="0" collapsed="false">
      <c r="A38" s="2" t="s">
        <v>43</v>
      </c>
      <c r="B38" s="2" t="n">
        <v>1</v>
      </c>
      <c r="C38" s="2" t="s">
        <v>30</v>
      </c>
      <c r="D38" s="2" t="n">
        <v>50</v>
      </c>
      <c r="E38" s="2" t="n">
        <v>0</v>
      </c>
      <c r="F38" s="2" t="n">
        <v>95</v>
      </c>
      <c r="G38" s="2" t="n">
        <v>5</v>
      </c>
      <c r="H38" s="2" t="n">
        <v>200</v>
      </c>
      <c r="I38" s="2" t="n">
        <v>23</v>
      </c>
      <c r="J38" s="2" t="n">
        <v>23</v>
      </c>
      <c r="K38" s="2" t="n">
        <v>0</v>
      </c>
      <c r="L38" s="2" t="n">
        <v>0</v>
      </c>
      <c r="M38" s="2" t="n">
        <v>19501</v>
      </c>
      <c r="N38" s="2"/>
      <c r="O38" s="5" t="n">
        <f aca="false">MAX(0,H38-J38)</f>
        <v>177</v>
      </c>
      <c r="P38" s="6" t="n">
        <f aca="false">IF(H38&gt;0,O38/H38,0)</f>
        <v>0.885</v>
      </c>
      <c r="Q38" s="7" t="n">
        <f aca="false">K38/10000</f>
        <v>0</v>
      </c>
      <c r="R38" s="7" t="n">
        <f aca="false">L38/10000</f>
        <v>0</v>
      </c>
    </row>
    <row r="39" customFormat="false" ht="15" hidden="false" customHeight="false" outlineLevel="0" collapsed="false">
      <c r="A39" s="2" t="s">
        <v>43</v>
      </c>
      <c r="B39" s="2" t="n">
        <v>2</v>
      </c>
      <c r="C39" s="2" t="s">
        <v>30</v>
      </c>
      <c r="D39" s="2" t="n">
        <v>50</v>
      </c>
      <c r="E39" s="2" t="n">
        <v>0</v>
      </c>
      <c r="F39" s="2" t="n">
        <v>95</v>
      </c>
      <c r="G39" s="2" t="n">
        <v>5</v>
      </c>
      <c r="H39" s="2" t="n">
        <v>200</v>
      </c>
      <c r="I39" s="2" t="n">
        <v>23</v>
      </c>
      <c r="J39" s="2" t="n">
        <v>23</v>
      </c>
      <c r="K39" s="2" t="n">
        <v>0</v>
      </c>
      <c r="L39" s="2" t="n">
        <v>0</v>
      </c>
      <c r="M39" s="2" t="n">
        <v>19501</v>
      </c>
      <c r="N39" s="2"/>
      <c r="O39" s="5" t="n">
        <f aca="false">MAX(0,H39-J39)</f>
        <v>177</v>
      </c>
      <c r="P39" s="6" t="n">
        <f aca="false">IF(H39&gt;0,O39/H39,0)</f>
        <v>0.885</v>
      </c>
      <c r="Q39" s="7" t="n">
        <f aca="false">K39/10000</f>
        <v>0</v>
      </c>
      <c r="R39" s="7" t="n">
        <f aca="false">L39/10000</f>
        <v>0</v>
      </c>
    </row>
    <row r="40" customFormat="false" ht="15" hidden="false" customHeight="false" outlineLevel="0" collapsed="false">
      <c r="A40" s="2" t="s">
        <v>43</v>
      </c>
      <c r="B40" s="2" t="n">
        <v>3</v>
      </c>
      <c r="C40" s="2" t="s">
        <v>30</v>
      </c>
      <c r="D40" s="2" t="n">
        <v>50</v>
      </c>
      <c r="E40" s="2" t="n">
        <v>0</v>
      </c>
      <c r="F40" s="2" t="n">
        <v>95</v>
      </c>
      <c r="G40" s="2" t="n">
        <v>5</v>
      </c>
      <c r="H40" s="2" t="n">
        <v>200</v>
      </c>
      <c r="I40" s="2" t="n">
        <v>23</v>
      </c>
      <c r="J40" s="2" t="n">
        <v>23</v>
      </c>
      <c r="K40" s="2" t="n">
        <v>0</v>
      </c>
      <c r="L40" s="2" t="n">
        <v>0</v>
      </c>
      <c r="M40" s="2" t="n">
        <v>19501</v>
      </c>
      <c r="N40" s="2"/>
      <c r="O40" s="5" t="n">
        <f aca="false">MAX(0,H40-J40)</f>
        <v>177</v>
      </c>
      <c r="P40" s="6" t="n">
        <f aca="false">IF(H40&gt;0,O40/H40,0)</f>
        <v>0.885</v>
      </c>
      <c r="Q40" s="7" t="n">
        <f aca="false">K40/10000</f>
        <v>0</v>
      </c>
      <c r="R40" s="7" t="n">
        <f aca="false">L40/10000</f>
        <v>0</v>
      </c>
    </row>
    <row r="41" customFormat="false" ht="15" hidden="false" customHeight="false" outlineLevel="0" collapsed="false">
      <c r="A41" s="2" t="s">
        <v>44</v>
      </c>
      <c r="B41" s="2" t="n">
        <v>1</v>
      </c>
      <c r="C41" s="2" t="s">
        <v>30</v>
      </c>
      <c r="D41" s="2" t="n">
        <v>5</v>
      </c>
      <c r="E41" s="2" t="n">
        <v>0</v>
      </c>
      <c r="F41" s="2" t="n">
        <v>95</v>
      </c>
      <c r="G41" s="2" t="n">
        <v>20</v>
      </c>
      <c r="H41" s="2" t="n">
        <v>200</v>
      </c>
      <c r="I41" s="2" t="n">
        <v>200</v>
      </c>
      <c r="J41" s="2" t="n">
        <v>200</v>
      </c>
      <c r="K41" s="2" t="n">
        <v>4</v>
      </c>
      <c r="L41" s="2" t="n">
        <v>0</v>
      </c>
      <c r="M41" s="2" t="n">
        <v>19501</v>
      </c>
      <c r="N41" s="2"/>
      <c r="O41" s="5" t="n">
        <f aca="false">MAX(0,H41-J41)</f>
        <v>0</v>
      </c>
      <c r="P41" s="6" t="n">
        <f aca="false">IF(H41&gt;0,O41/H41,0)</f>
        <v>0</v>
      </c>
      <c r="Q41" s="7" t="n">
        <f aca="false">K41/10000</f>
        <v>0.0004</v>
      </c>
      <c r="R41" s="7" t="n">
        <f aca="false">L41/10000</f>
        <v>0</v>
      </c>
    </row>
    <row r="42" customFormat="false" ht="15" hidden="false" customHeight="false" outlineLevel="0" collapsed="false">
      <c r="A42" s="2" t="s">
        <v>44</v>
      </c>
      <c r="B42" s="2" t="n">
        <v>2</v>
      </c>
      <c r="C42" s="2" t="s">
        <v>30</v>
      </c>
      <c r="D42" s="2" t="n">
        <v>5</v>
      </c>
      <c r="E42" s="2" t="n">
        <v>0</v>
      </c>
      <c r="F42" s="2" t="n">
        <v>95</v>
      </c>
      <c r="G42" s="2" t="n">
        <v>20</v>
      </c>
      <c r="H42" s="2" t="n">
        <v>200</v>
      </c>
      <c r="I42" s="2" t="n">
        <v>200</v>
      </c>
      <c r="J42" s="2" t="n">
        <v>200</v>
      </c>
      <c r="K42" s="2" t="n">
        <v>4</v>
      </c>
      <c r="L42" s="2" t="n">
        <v>0</v>
      </c>
      <c r="M42" s="2" t="n">
        <v>19501</v>
      </c>
      <c r="N42" s="2"/>
      <c r="O42" s="5" t="n">
        <f aca="false">MAX(0,H42-J42)</f>
        <v>0</v>
      </c>
      <c r="P42" s="6" t="n">
        <f aca="false">IF(H42&gt;0,O42/H42,0)</f>
        <v>0</v>
      </c>
      <c r="Q42" s="7" t="n">
        <f aca="false">K42/10000</f>
        <v>0.0004</v>
      </c>
      <c r="R42" s="7" t="n">
        <f aca="false">L42/10000</f>
        <v>0</v>
      </c>
    </row>
    <row r="43" customFormat="false" ht="15" hidden="false" customHeight="false" outlineLevel="0" collapsed="false">
      <c r="A43" s="2" t="s">
        <v>44</v>
      </c>
      <c r="B43" s="2" t="n">
        <v>3</v>
      </c>
      <c r="C43" s="2" t="s">
        <v>30</v>
      </c>
      <c r="D43" s="2" t="n">
        <v>5</v>
      </c>
      <c r="E43" s="2" t="n">
        <v>0</v>
      </c>
      <c r="F43" s="2" t="n">
        <v>95</v>
      </c>
      <c r="G43" s="2" t="n">
        <v>20</v>
      </c>
      <c r="H43" s="2" t="n">
        <v>200</v>
      </c>
      <c r="I43" s="2" t="n">
        <v>200</v>
      </c>
      <c r="J43" s="2" t="n">
        <v>200</v>
      </c>
      <c r="K43" s="2" t="n">
        <v>4</v>
      </c>
      <c r="L43" s="2" t="n">
        <v>0</v>
      </c>
      <c r="M43" s="2" t="n">
        <v>19501</v>
      </c>
      <c r="N43" s="2"/>
      <c r="O43" s="5" t="n">
        <f aca="false">MAX(0,H43-J43)</f>
        <v>0</v>
      </c>
      <c r="P43" s="6" t="n">
        <f aca="false">IF(H43&gt;0,O43/H43,0)</f>
        <v>0</v>
      </c>
      <c r="Q43" s="7" t="n">
        <f aca="false">K43/10000</f>
        <v>0.0004</v>
      </c>
      <c r="R43" s="7" t="n">
        <f aca="false">L43/10000</f>
        <v>0</v>
      </c>
    </row>
    <row r="44" customFormat="false" ht="15" hidden="false" customHeight="false" outlineLevel="0" collapsed="false">
      <c r="A44" s="2" t="s">
        <v>45</v>
      </c>
      <c r="B44" s="2" t="n">
        <v>1</v>
      </c>
      <c r="C44" s="2" t="s">
        <v>30</v>
      </c>
      <c r="D44" s="2" t="n">
        <v>5</v>
      </c>
      <c r="E44" s="2" t="n">
        <v>0</v>
      </c>
      <c r="F44" s="2" t="n">
        <v>95</v>
      </c>
      <c r="G44" s="2" t="n">
        <v>5</v>
      </c>
      <c r="H44" s="2" t="n">
        <v>200</v>
      </c>
      <c r="I44" s="2" t="n">
        <v>200</v>
      </c>
      <c r="J44" s="2" t="n">
        <v>200</v>
      </c>
      <c r="K44" s="2" t="n">
        <v>4</v>
      </c>
      <c r="L44" s="2" t="n">
        <v>0</v>
      </c>
      <c r="M44" s="2" t="n">
        <v>19501</v>
      </c>
      <c r="N44" s="2"/>
      <c r="O44" s="5" t="n">
        <f aca="false">MAX(0,H44-J44)</f>
        <v>0</v>
      </c>
      <c r="P44" s="6" t="n">
        <f aca="false">IF(H44&gt;0,O44/H44,0)</f>
        <v>0</v>
      </c>
      <c r="Q44" s="7" t="n">
        <f aca="false">K44/10000</f>
        <v>0.0004</v>
      </c>
      <c r="R44" s="7" t="n">
        <f aca="false">L44/10000</f>
        <v>0</v>
      </c>
    </row>
    <row r="45" customFormat="false" ht="15" hidden="false" customHeight="false" outlineLevel="0" collapsed="false">
      <c r="A45" s="2" t="s">
        <v>45</v>
      </c>
      <c r="B45" s="2" t="n">
        <v>2</v>
      </c>
      <c r="C45" s="2" t="s">
        <v>30</v>
      </c>
      <c r="D45" s="2" t="n">
        <v>5</v>
      </c>
      <c r="E45" s="2" t="n">
        <v>0</v>
      </c>
      <c r="F45" s="2" t="n">
        <v>95</v>
      </c>
      <c r="G45" s="2" t="n">
        <v>5</v>
      </c>
      <c r="H45" s="2" t="n">
        <v>200</v>
      </c>
      <c r="I45" s="2" t="n">
        <v>200</v>
      </c>
      <c r="J45" s="2" t="n">
        <v>200</v>
      </c>
      <c r="K45" s="2" t="n">
        <v>4</v>
      </c>
      <c r="L45" s="2" t="n">
        <v>0</v>
      </c>
      <c r="M45" s="2" t="n">
        <v>19501</v>
      </c>
      <c r="N45" s="2"/>
      <c r="O45" s="5" t="n">
        <f aca="false">MAX(0,H45-J45)</f>
        <v>0</v>
      </c>
      <c r="P45" s="6" t="n">
        <f aca="false">IF(H45&gt;0,O45/H45,0)</f>
        <v>0</v>
      </c>
      <c r="Q45" s="7" t="n">
        <f aca="false">K45/10000</f>
        <v>0.0004</v>
      </c>
      <c r="R45" s="7" t="n">
        <f aca="false">L45/10000</f>
        <v>0</v>
      </c>
    </row>
    <row r="46" customFormat="false" ht="15" hidden="false" customHeight="false" outlineLevel="0" collapsed="false">
      <c r="A46" s="2" t="s">
        <v>45</v>
      </c>
      <c r="B46" s="2" t="n">
        <v>3</v>
      </c>
      <c r="C46" s="2" t="s">
        <v>30</v>
      </c>
      <c r="D46" s="2" t="n">
        <v>5</v>
      </c>
      <c r="E46" s="2" t="n">
        <v>0</v>
      </c>
      <c r="F46" s="2" t="n">
        <v>95</v>
      </c>
      <c r="G46" s="2" t="n">
        <v>5</v>
      </c>
      <c r="H46" s="2" t="n">
        <v>200</v>
      </c>
      <c r="I46" s="2" t="n">
        <v>200</v>
      </c>
      <c r="J46" s="2" t="n">
        <v>200</v>
      </c>
      <c r="K46" s="2" t="n">
        <v>4</v>
      </c>
      <c r="L46" s="2" t="n">
        <v>0</v>
      </c>
      <c r="M46" s="2" t="n">
        <v>19501</v>
      </c>
      <c r="N46" s="2"/>
      <c r="O46" s="5" t="n">
        <f aca="false">MAX(0,H46-J46)</f>
        <v>0</v>
      </c>
      <c r="P46" s="6" t="n">
        <f aca="false">IF(H46&gt;0,O46/H46,0)</f>
        <v>0</v>
      </c>
      <c r="Q46" s="7" t="n">
        <f aca="false">K46/10000</f>
        <v>0.0004</v>
      </c>
      <c r="R46" s="7" t="n">
        <f aca="false">L46/10000</f>
        <v>0</v>
      </c>
    </row>
    <row r="47" customFormat="false" ht="15" hidden="false" customHeight="false" outlineLevel="0" collapsed="false">
      <c r="A47" s="2" t="s">
        <v>46</v>
      </c>
      <c r="B47" s="2" t="n">
        <v>1</v>
      </c>
      <c r="C47" s="2" t="s">
        <v>23</v>
      </c>
      <c r="D47" s="2" t="n">
        <v>10</v>
      </c>
      <c r="E47" s="2" t="n">
        <v>0</v>
      </c>
      <c r="F47" s="2" t="n">
        <v>97</v>
      </c>
      <c r="G47" s="2" t="n">
        <v>20</v>
      </c>
      <c r="H47" s="2" t="n">
        <v>200</v>
      </c>
      <c r="I47" s="2" t="n">
        <v>200</v>
      </c>
      <c r="J47" s="2" t="n">
        <v>200</v>
      </c>
      <c r="K47" s="2" t="n">
        <v>1</v>
      </c>
      <c r="L47" s="2" t="n">
        <v>0</v>
      </c>
      <c r="M47" s="2" t="n">
        <v>19901</v>
      </c>
      <c r="N47" s="2"/>
      <c r="O47" s="5" t="n">
        <f aca="false">MAX(0,H47-J47)</f>
        <v>0</v>
      </c>
      <c r="P47" s="6" t="n">
        <f aca="false">IF(H47&gt;0,O47/H47,0)</f>
        <v>0</v>
      </c>
      <c r="Q47" s="7" t="n">
        <f aca="false">K47/10000</f>
        <v>0.0001</v>
      </c>
      <c r="R47" s="7" t="n">
        <f aca="false">L47/10000</f>
        <v>0</v>
      </c>
    </row>
    <row r="48" customFormat="false" ht="15" hidden="false" customHeight="false" outlineLevel="0" collapsed="false">
      <c r="A48" s="2" t="s">
        <v>47</v>
      </c>
      <c r="B48" s="2" t="n">
        <v>1</v>
      </c>
      <c r="C48" s="2" t="s">
        <v>23</v>
      </c>
      <c r="D48" s="2" t="n">
        <v>10</v>
      </c>
      <c r="E48" s="2" t="n">
        <v>10000</v>
      </c>
      <c r="F48" s="2" t="n">
        <v>97</v>
      </c>
      <c r="G48" s="2" t="n">
        <v>20</v>
      </c>
      <c r="H48" s="2" t="n">
        <v>200</v>
      </c>
      <c r="I48" s="2" t="n">
        <v>200</v>
      </c>
      <c r="J48" s="2" t="n">
        <v>200</v>
      </c>
      <c r="K48" s="2" t="n">
        <v>913</v>
      </c>
      <c r="L48" s="2" t="n">
        <v>912</v>
      </c>
      <c r="M48" s="2" t="n">
        <v>21911</v>
      </c>
      <c r="N48" s="2"/>
      <c r="O48" s="5" t="n">
        <f aca="false">MAX(0,H48-J48)</f>
        <v>0</v>
      </c>
      <c r="P48" s="6" t="n">
        <f aca="false">IF(H48&gt;0,O48/H48,0)</f>
        <v>0</v>
      </c>
      <c r="Q48" s="7" t="n">
        <f aca="false">K48/10000</f>
        <v>0.0913</v>
      </c>
      <c r="R48" s="7" t="n">
        <f aca="false">L48/10000</f>
        <v>0.0912</v>
      </c>
    </row>
    <row r="49" customFormat="false" ht="15" hidden="false" customHeight="false" outlineLevel="0" collapsed="false">
      <c r="A49" s="2" t="s">
        <v>48</v>
      </c>
      <c r="B49" s="2" t="n">
        <v>1</v>
      </c>
      <c r="C49" s="2" t="s">
        <v>23</v>
      </c>
      <c r="D49" s="2" t="n">
        <v>10</v>
      </c>
      <c r="E49" s="2" t="n">
        <v>1000</v>
      </c>
      <c r="F49" s="2" t="n">
        <v>97</v>
      </c>
      <c r="G49" s="2" t="n">
        <v>20</v>
      </c>
      <c r="H49" s="2" t="n">
        <v>200</v>
      </c>
      <c r="I49" s="2" t="n">
        <v>200</v>
      </c>
      <c r="J49" s="2" t="n">
        <v>200</v>
      </c>
      <c r="K49" s="2" t="n">
        <v>100</v>
      </c>
      <c r="L49" s="2" t="n">
        <v>99</v>
      </c>
      <c r="M49" s="2" t="n">
        <v>20102</v>
      </c>
      <c r="N49" s="2"/>
      <c r="O49" s="5" t="n">
        <f aca="false">MAX(0,H49-J49)</f>
        <v>0</v>
      </c>
      <c r="P49" s="6" t="n">
        <f aca="false">IF(H49&gt;0,O49/H49,0)</f>
        <v>0</v>
      </c>
      <c r="Q49" s="7" t="n">
        <f aca="false">K49/10000</f>
        <v>0.01</v>
      </c>
      <c r="R49" s="7" t="n">
        <f aca="false">L49/10000</f>
        <v>0.0099</v>
      </c>
    </row>
    <row r="50" customFormat="false" ht="15" hidden="false" customHeight="false" outlineLevel="0" collapsed="false">
      <c r="A50" s="2" t="s">
        <v>49</v>
      </c>
      <c r="B50" s="2" t="n">
        <v>1</v>
      </c>
      <c r="C50" s="2" t="s">
        <v>23</v>
      </c>
      <c r="D50" s="2" t="n">
        <v>10</v>
      </c>
      <c r="E50" s="2" t="n">
        <v>50000</v>
      </c>
      <c r="F50" s="2" t="n">
        <v>97</v>
      </c>
      <c r="G50" s="2" t="n">
        <v>20</v>
      </c>
      <c r="H50" s="2" t="n">
        <v>200</v>
      </c>
      <c r="I50" s="2" t="n">
        <v>200</v>
      </c>
      <c r="J50" s="2" t="n">
        <v>200</v>
      </c>
      <c r="K50" s="2" t="n">
        <v>3339</v>
      </c>
      <c r="L50" s="2" t="n">
        <v>3338</v>
      </c>
      <c r="M50" s="2" t="n">
        <v>29951</v>
      </c>
      <c r="N50" s="2"/>
      <c r="O50" s="5" t="n">
        <f aca="false">MAX(0,H50-J50)</f>
        <v>0</v>
      </c>
      <c r="P50" s="6" t="n">
        <f aca="false">IF(H50&gt;0,O50/H50,0)</f>
        <v>0</v>
      </c>
      <c r="Q50" s="7" t="n">
        <f aca="false">K50/10000</f>
        <v>0.3339</v>
      </c>
      <c r="R50" s="7" t="n">
        <f aca="false">L50/10000</f>
        <v>0.3338</v>
      </c>
    </row>
    <row r="51" customFormat="false" ht="15" hidden="false" customHeight="false" outlineLevel="0" collapsed="false">
      <c r="A51" s="2" t="s">
        <v>50</v>
      </c>
      <c r="B51" s="2" t="n">
        <v>1</v>
      </c>
      <c r="C51" s="2" t="s">
        <v>34</v>
      </c>
      <c r="D51" s="2" t="n">
        <v>10</v>
      </c>
      <c r="E51" s="2" t="n">
        <v>0</v>
      </c>
      <c r="F51" s="2" t="n">
        <v>97</v>
      </c>
      <c r="G51" s="2" t="n">
        <v>20</v>
      </c>
      <c r="H51" s="2" t="n">
        <v>200</v>
      </c>
      <c r="I51" s="2" t="n">
        <v>200</v>
      </c>
      <c r="J51" s="2" t="n">
        <v>200</v>
      </c>
      <c r="K51" s="2" t="n">
        <v>1</v>
      </c>
      <c r="L51" s="2" t="n">
        <v>0</v>
      </c>
      <c r="M51" s="2" t="n">
        <v>19901</v>
      </c>
      <c r="N51" s="2"/>
      <c r="O51" s="5" t="n">
        <f aca="false">MAX(0,H51-J51)</f>
        <v>0</v>
      </c>
      <c r="P51" s="6" t="n">
        <f aca="false">IF(H51&gt;0,O51/H51,0)</f>
        <v>0</v>
      </c>
      <c r="Q51" s="7" t="n">
        <f aca="false">K51/10000</f>
        <v>0.0001</v>
      </c>
      <c r="R51" s="7" t="n">
        <f aca="false">L51/10000</f>
        <v>0</v>
      </c>
    </row>
    <row r="52" customFormat="false" ht="15" hidden="false" customHeight="false" outlineLevel="0" collapsed="false">
      <c r="A52" s="2" t="s">
        <v>51</v>
      </c>
      <c r="B52" s="2" t="n">
        <v>1</v>
      </c>
      <c r="C52" s="2" t="s">
        <v>34</v>
      </c>
      <c r="D52" s="2" t="n">
        <v>10</v>
      </c>
      <c r="E52" s="2" t="n">
        <v>10000</v>
      </c>
      <c r="F52" s="2" t="n">
        <v>97</v>
      </c>
      <c r="G52" s="2" t="n">
        <v>20</v>
      </c>
      <c r="H52" s="2" t="n">
        <v>200</v>
      </c>
      <c r="I52" s="2" t="n">
        <v>200</v>
      </c>
      <c r="J52" s="2" t="n">
        <v>200</v>
      </c>
      <c r="K52" s="2" t="n">
        <v>913</v>
      </c>
      <c r="L52" s="2" t="n">
        <v>912</v>
      </c>
      <c r="M52" s="2" t="n">
        <v>21911</v>
      </c>
      <c r="N52" s="2"/>
      <c r="O52" s="5" t="n">
        <f aca="false">MAX(0,H52-J52)</f>
        <v>0</v>
      </c>
      <c r="P52" s="6" t="n">
        <f aca="false">IF(H52&gt;0,O52/H52,0)</f>
        <v>0</v>
      </c>
      <c r="Q52" s="7" t="n">
        <f aca="false">K52/10000</f>
        <v>0.0913</v>
      </c>
      <c r="R52" s="7" t="n">
        <f aca="false">L52/10000</f>
        <v>0.0912</v>
      </c>
    </row>
    <row r="53" customFormat="false" ht="15" hidden="false" customHeight="false" outlineLevel="0" collapsed="false">
      <c r="A53" s="2" t="s">
        <v>52</v>
      </c>
      <c r="B53" s="2" t="n">
        <v>1</v>
      </c>
      <c r="C53" s="2" t="s">
        <v>34</v>
      </c>
      <c r="D53" s="2" t="n">
        <v>10</v>
      </c>
      <c r="E53" s="2" t="n">
        <v>1000</v>
      </c>
      <c r="F53" s="2" t="n">
        <v>97</v>
      </c>
      <c r="G53" s="2" t="n">
        <v>20</v>
      </c>
      <c r="H53" s="2" t="n">
        <v>200</v>
      </c>
      <c r="I53" s="2" t="n">
        <v>200</v>
      </c>
      <c r="J53" s="2" t="n">
        <v>200</v>
      </c>
      <c r="K53" s="2" t="n">
        <v>100</v>
      </c>
      <c r="L53" s="2" t="n">
        <v>99</v>
      </c>
      <c r="M53" s="2" t="n">
        <v>20102</v>
      </c>
      <c r="N53" s="2"/>
      <c r="O53" s="5" t="n">
        <f aca="false">MAX(0,H53-J53)</f>
        <v>0</v>
      </c>
      <c r="P53" s="6" t="n">
        <f aca="false">IF(H53&gt;0,O53/H53,0)</f>
        <v>0</v>
      </c>
      <c r="Q53" s="7" t="n">
        <f aca="false">K53/10000</f>
        <v>0.01</v>
      </c>
      <c r="R53" s="7" t="n">
        <f aca="false">L53/10000</f>
        <v>0.0099</v>
      </c>
    </row>
    <row r="54" customFormat="false" ht="15" hidden="false" customHeight="false" outlineLevel="0" collapsed="false">
      <c r="A54" s="2" t="s">
        <v>53</v>
      </c>
      <c r="B54" s="2" t="n">
        <v>1</v>
      </c>
      <c r="C54" s="2" t="s">
        <v>34</v>
      </c>
      <c r="D54" s="2" t="n">
        <v>10</v>
      </c>
      <c r="E54" s="2" t="n">
        <v>50000</v>
      </c>
      <c r="F54" s="2" t="n">
        <v>97</v>
      </c>
      <c r="G54" s="2" t="n">
        <v>20</v>
      </c>
      <c r="H54" s="2" t="n">
        <v>200</v>
      </c>
      <c r="I54" s="2" t="n">
        <v>200</v>
      </c>
      <c r="J54" s="2" t="n">
        <v>200</v>
      </c>
      <c r="K54" s="2" t="n">
        <v>3339</v>
      </c>
      <c r="L54" s="2" t="n">
        <v>3338</v>
      </c>
      <c r="M54" s="2" t="n">
        <v>29951</v>
      </c>
      <c r="N54" s="2"/>
      <c r="O54" s="5" t="n">
        <f aca="false">MAX(0,H54-J54)</f>
        <v>0</v>
      </c>
      <c r="P54" s="6" t="n">
        <f aca="false">IF(H54&gt;0,O54/H54,0)</f>
        <v>0</v>
      </c>
      <c r="Q54" s="7" t="n">
        <f aca="false">K54/10000</f>
        <v>0.3339</v>
      </c>
      <c r="R54" s="7" t="n">
        <f aca="false">L54/10000</f>
        <v>0.3338</v>
      </c>
    </row>
    <row r="55" customFormat="false" ht="15" hidden="false" customHeight="false" outlineLevel="0" collapsed="false">
      <c r="A55" s="2" t="s">
        <v>54</v>
      </c>
      <c r="B55" s="2" t="n">
        <v>1</v>
      </c>
      <c r="C55" s="2" t="s">
        <v>23</v>
      </c>
      <c r="D55" s="2" t="n">
        <v>10</v>
      </c>
      <c r="E55" s="2" t="n">
        <v>30000</v>
      </c>
      <c r="F55" s="2" t="n">
        <v>23</v>
      </c>
      <c r="G55" s="2" t="n">
        <v>5</v>
      </c>
      <c r="H55" s="2" t="n">
        <v>200</v>
      </c>
      <c r="I55" s="2" t="n">
        <v>200</v>
      </c>
      <c r="J55" s="2" t="n">
        <v>167</v>
      </c>
      <c r="K55" s="2" t="n">
        <v>9764</v>
      </c>
      <c r="L55" s="2" t="n">
        <v>9764</v>
      </c>
      <c r="M55" s="2" t="n">
        <v>5131</v>
      </c>
      <c r="N55" s="2"/>
      <c r="O55" s="5" t="n">
        <f aca="false">MAX(0,H55-J55)</f>
        <v>33</v>
      </c>
      <c r="P55" s="6" t="n">
        <f aca="false">IF(H55&gt;0,O55/H55,0)</f>
        <v>0.165</v>
      </c>
      <c r="Q55" s="7" t="n">
        <f aca="false">K55/10000</f>
        <v>0.9764</v>
      </c>
      <c r="R55" s="7" t="n">
        <f aca="false">L55/10000</f>
        <v>0.9764</v>
      </c>
    </row>
    <row r="56" customFormat="false" ht="15" hidden="false" customHeight="false" outlineLevel="0" collapsed="false">
      <c r="A56" s="2" t="s">
        <v>55</v>
      </c>
      <c r="B56" s="2" t="n">
        <v>1</v>
      </c>
      <c r="C56" s="2" t="s">
        <v>30</v>
      </c>
      <c r="D56" s="2" t="n">
        <v>10</v>
      </c>
      <c r="E56" s="2" t="n">
        <v>30000</v>
      </c>
      <c r="F56" s="2" t="n">
        <v>23</v>
      </c>
      <c r="G56" s="2" t="n">
        <v>5</v>
      </c>
      <c r="H56" s="2" t="n">
        <v>200</v>
      </c>
      <c r="I56" s="2" t="n">
        <v>75</v>
      </c>
      <c r="J56" s="2" t="n">
        <v>75</v>
      </c>
      <c r="K56" s="2" t="n">
        <v>4387</v>
      </c>
      <c r="L56" s="2" t="n">
        <v>4385</v>
      </c>
      <c r="M56" s="2" t="n">
        <v>5131</v>
      </c>
      <c r="N56" s="2"/>
      <c r="O56" s="5" t="n">
        <f aca="false">MAX(0,H56-J56)</f>
        <v>125</v>
      </c>
      <c r="P56" s="6" t="n">
        <f aca="false">IF(H56&gt;0,O56/H56,0)</f>
        <v>0.625</v>
      </c>
      <c r="Q56" s="7" t="n">
        <f aca="false">K56/10000</f>
        <v>0.4387</v>
      </c>
      <c r="R56" s="7" t="n">
        <f aca="false">L56/10000</f>
        <v>0.4385</v>
      </c>
    </row>
    <row r="57" customFormat="false" ht="15" hidden="false" customHeight="false" outlineLevel="0" collapsed="false">
      <c r="A57" s="2" t="s">
        <v>56</v>
      </c>
      <c r="B57" s="2" t="n">
        <v>1</v>
      </c>
      <c r="C57" s="2" t="s">
        <v>34</v>
      </c>
      <c r="D57" s="2" t="n">
        <v>10</v>
      </c>
      <c r="E57" s="2" t="n">
        <v>30000</v>
      </c>
      <c r="F57" s="2" t="n">
        <v>23</v>
      </c>
      <c r="G57" s="2" t="n">
        <v>5</v>
      </c>
      <c r="H57" s="2" t="n">
        <v>200</v>
      </c>
      <c r="I57" s="2" t="n">
        <v>200</v>
      </c>
      <c r="J57" s="2" t="n">
        <v>167</v>
      </c>
      <c r="K57" s="2" t="n">
        <v>9764</v>
      </c>
      <c r="L57" s="2" t="n">
        <v>9764</v>
      </c>
      <c r="M57" s="2" t="n">
        <v>5131</v>
      </c>
      <c r="N57" s="2"/>
      <c r="O57" s="5" t="n">
        <f aca="false">MAX(0,H57-J57)</f>
        <v>33</v>
      </c>
      <c r="P57" s="6" t="n">
        <f aca="false">IF(H57&gt;0,O57/H57,0)</f>
        <v>0.165</v>
      </c>
      <c r="Q57" s="7" t="n">
        <f aca="false">K57/10000</f>
        <v>0.9764</v>
      </c>
      <c r="R57" s="7" t="n">
        <f aca="false">L57/10000</f>
        <v>0.9764</v>
      </c>
    </row>
    <row r="58" customFormat="false" ht="15" hidden="false" customHeight="false" outlineLevel="0" collapsed="false">
      <c r="A58" s="2" t="s">
        <v>57</v>
      </c>
      <c r="B58" s="2" t="n">
        <v>1</v>
      </c>
      <c r="C58" s="2" t="s">
        <v>23</v>
      </c>
      <c r="D58" s="2" t="n">
        <v>10</v>
      </c>
      <c r="E58" s="2" t="n">
        <v>20000</v>
      </c>
      <c r="F58" s="2" t="n">
        <v>97</v>
      </c>
      <c r="G58" s="2" t="n">
        <v>20</v>
      </c>
      <c r="H58" s="2" t="n">
        <v>200</v>
      </c>
      <c r="I58" s="2" t="n">
        <v>200</v>
      </c>
      <c r="J58" s="2" t="n">
        <v>200</v>
      </c>
      <c r="K58" s="2" t="n">
        <v>1682</v>
      </c>
      <c r="L58" s="2" t="n">
        <v>1672</v>
      </c>
      <c r="M58" s="2" t="n">
        <v>23921</v>
      </c>
      <c r="N58" s="2" t="n">
        <v>2</v>
      </c>
      <c r="O58" s="5" t="n">
        <f aca="false">MAX(0,H58-J58)</f>
        <v>0</v>
      </c>
      <c r="P58" s="6" t="n">
        <f aca="false">IF(H58&gt;0,O58/H58,0)</f>
        <v>0</v>
      </c>
      <c r="Q58" s="7" t="n">
        <f aca="false">K58/10000</f>
        <v>0.1682</v>
      </c>
      <c r="R58" s="7" t="n">
        <f aca="false">L58/10000</f>
        <v>0.1672</v>
      </c>
    </row>
    <row r="59" customFormat="false" ht="15" hidden="false" customHeight="false" outlineLevel="0" collapsed="false">
      <c r="A59" s="2" t="s">
        <v>58</v>
      </c>
      <c r="B59" s="2" t="n">
        <v>1</v>
      </c>
      <c r="C59" s="2" t="s">
        <v>59</v>
      </c>
      <c r="D59" s="2" t="n">
        <v>10</v>
      </c>
      <c r="E59" s="2" t="n">
        <v>20000</v>
      </c>
      <c r="F59" s="2" t="n">
        <v>97</v>
      </c>
      <c r="G59" s="2" t="n">
        <v>20</v>
      </c>
      <c r="H59" s="2" t="n">
        <v>200</v>
      </c>
      <c r="I59" s="2" t="n">
        <v>200</v>
      </c>
      <c r="J59" s="2" t="n">
        <v>200</v>
      </c>
      <c r="K59" s="2" t="n">
        <v>12</v>
      </c>
      <c r="L59" s="2" t="n">
        <v>1672</v>
      </c>
      <c r="M59" s="2" t="n">
        <v>23921</v>
      </c>
      <c r="N59" s="2" t="n">
        <v>21</v>
      </c>
      <c r="O59" s="5" t="n">
        <f aca="false">MAX(0,H59-J59)</f>
        <v>0</v>
      </c>
      <c r="P59" s="6" t="n">
        <f aca="false">IF(H59&gt;0,O59/H59,0)</f>
        <v>0</v>
      </c>
      <c r="Q59" s="7" t="n">
        <f aca="false">K59/10000</f>
        <v>0.0012</v>
      </c>
      <c r="R59" s="7" t="n">
        <f aca="false">L59/10000</f>
        <v>0.1672</v>
      </c>
    </row>
    <row r="60" customFormat="false" ht="15" hidden="false" customHeight="false" outlineLevel="0" collapsed="false">
      <c r="A60" s="2" t="s">
        <v>60</v>
      </c>
      <c r="B60" s="2" t="n">
        <v>1</v>
      </c>
      <c r="C60" s="2" t="s">
        <v>34</v>
      </c>
      <c r="D60" s="2" t="n">
        <v>10</v>
      </c>
      <c r="E60" s="2" t="n">
        <v>20000</v>
      </c>
      <c r="F60" s="2" t="n">
        <v>97</v>
      </c>
      <c r="G60" s="2" t="n">
        <v>20</v>
      </c>
      <c r="H60" s="2" t="n">
        <v>200</v>
      </c>
      <c r="I60" s="2" t="n">
        <v>200</v>
      </c>
      <c r="J60" s="2" t="n">
        <v>200</v>
      </c>
      <c r="K60" s="2" t="n">
        <v>1682</v>
      </c>
      <c r="L60" s="2" t="n">
        <v>1672</v>
      </c>
      <c r="M60" s="2" t="n">
        <v>23921</v>
      </c>
      <c r="N60" s="2" t="n">
        <v>2</v>
      </c>
      <c r="O60" s="5" t="n">
        <f aca="false">MAX(0,H60-J60)</f>
        <v>0</v>
      </c>
      <c r="P60" s="6" t="n">
        <f aca="false">IF(H60&gt;0,O60/H60,0)</f>
        <v>0</v>
      </c>
      <c r="Q60" s="7" t="n">
        <f aca="false">K60/10000</f>
        <v>0.1682</v>
      </c>
      <c r="R60" s="7" t="n">
        <f aca="false">L60/10000</f>
        <v>0.1672</v>
      </c>
    </row>
    <row r="61" customFormat="false" ht="15" hidden="false" customHeight="false" outlineLevel="0" collapsed="false">
      <c r="A61" s="2" t="s">
        <v>61</v>
      </c>
      <c r="B61" s="2" t="n">
        <v>1</v>
      </c>
      <c r="C61" s="2" t="s">
        <v>23</v>
      </c>
      <c r="D61" s="2" t="n">
        <v>10</v>
      </c>
      <c r="E61" s="2" t="n">
        <v>100000</v>
      </c>
      <c r="F61" s="2" t="n">
        <v>197</v>
      </c>
      <c r="G61" s="2" t="n">
        <v>20</v>
      </c>
      <c r="H61" s="2" t="n">
        <v>50</v>
      </c>
      <c r="I61" s="2" t="n">
        <v>50</v>
      </c>
      <c r="J61" s="2" t="n">
        <v>50</v>
      </c>
      <c r="K61" s="2" t="n">
        <v>4926</v>
      </c>
      <c r="L61" s="2" t="n">
        <v>4925</v>
      </c>
      <c r="M61" s="2" t="n">
        <v>10151</v>
      </c>
      <c r="N61" s="2"/>
      <c r="O61" s="5" t="n">
        <f aca="false">MAX(0,H61-J61)</f>
        <v>0</v>
      </c>
      <c r="P61" s="6" t="n">
        <f aca="false">IF(H61&gt;0,O61/H61,0)</f>
        <v>0</v>
      </c>
      <c r="Q61" s="7" t="n">
        <f aca="false">K61/10000</f>
        <v>0.4926</v>
      </c>
      <c r="R61" s="7" t="n">
        <f aca="false">L61/10000</f>
        <v>0.4925</v>
      </c>
    </row>
    <row r="62" customFormat="false" ht="15" hidden="false" customHeight="false" outlineLevel="0" collapsed="false">
      <c r="A62" s="2" t="s">
        <v>62</v>
      </c>
      <c r="B62" s="2" t="n">
        <v>1</v>
      </c>
      <c r="C62" s="2" t="s">
        <v>23</v>
      </c>
      <c r="D62" s="2" t="n">
        <v>10</v>
      </c>
      <c r="E62" s="2" t="n">
        <v>100000</v>
      </c>
      <c r="F62" s="2" t="n">
        <v>47</v>
      </c>
      <c r="G62" s="2" t="n">
        <v>20</v>
      </c>
      <c r="H62" s="2" t="n">
        <v>50</v>
      </c>
      <c r="I62" s="2" t="n">
        <v>50</v>
      </c>
      <c r="J62" s="2" t="n">
        <v>26</v>
      </c>
      <c r="K62" s="2" t="n">
        <v>9808</v>
      </c>
      <c r="L62" s="2" t="n">
        <v>9808</v>
      </c>
      <c r="M62" s="2" t="n">
        <v>2651</v>
      </c>
      <c r="N62" s="2"/>
      <c r="O62" s="5" t="n">
        <f aca="false">MAX(0,H62-J62)</f>
        <v>24</v>
      </c>
      <c r="P62" s="6" t="n">
        <f aca="false">IF(H62&gt;0,O62/H62,0)</f>
        <v>0.48</v>
      </c>
      <c r="Q62" s="7" t="n">
        <f aca="false">K62/10000</f>
        <v>0.9808</v>
      </c>
      <c r="R62" s="7" t="n">
        <f aca="false">L62/10000</f>
        <v>0.9808</v>
      </c>
    </row>
    <row r="63" customFormat="false" ht="15" hidden="false" customHeight="false" outlineLevel="0" collapsed="false">
      <c r="A63" s="2" t="s">
        <v>63</v>
      </c>
      <c r="B63" s="2" t="n">
        <v>1</v>
      </c>
      <c r="C63" s="2" t="s">
        <v>23</v>
      </c>
      <c r="D63" s="2" t="n">
        <v>10</v>
      </c>
      <c r="E63" s="2" t="n">
        <v>100000</v>
      </c>
      <c r="F63" s="2" t="n">
        <v>197</v>
      </c>
      <c r="G63" s="2" t="n">
        <v>20</v>
      </c>
      <c r="H63" s="2" t="n">
        <v>50</v>
      </c>
      <c r="I63" s="2" t="n">
        <v>50</v>
      </c>
      <c r="J63" s="2" t="n">
        <v>50</v>
      </c>
      <c r="K63" s="2" t="n">
        <v>0</v>
      </c>
      <c r="L63" s="2" t="n">
        <v>4974</v>
      </c>
      <c r="M63" s="2" t="n">
        <v>10151</v>
      </c>
      <c r="N63" s="2"/>
      <c r="O63" s="5" t="n">
        <f aca="false">MAX(0,H63-J63)</f>
        <v>0</v>
      </c>
      <c r="P63" s="6" t="n">
        <f aca="false">IF(H63&gt;0,O63/H63,0)</f>
        <v>0</v>
      </c>
      <c r="Q63" s="7" t="n">
        <f aca="false">K63/10000</f>
        <v>0</v>
      </c>
      <c r="R63" s="7" t="n">
        <f aca="false">L63/10000</f>
        <v>0.4974</v>
      </c>
    </row>
    <row r="64" customFormat="false" ht="15" hidden="false" customHeight="false" outlineLevel="0" collapsed="false">
      <c r="A64" s="2" t="s">
        <v>64</v>
      </c>
      <c r="B64" s="2" t="n">
        <v>1</v>
      </c>
      <c r="C64" s="2" t="s">
        <v>30</v>
      </c>
      <c r="D64" s="2" t="n">
        <v>10</v>
      </c>
      <c r="E64" s="2" t="n">
        <v>100000</v>
      </c>
      <c r="F64" s="2" t="n">
        <v>197</v>
      </c>
      <c r="G64" s="2" t="n">
        <v>20</v>
      </c>
      <c r="H64" s="2" t="n">
        <v>50</v>
      </c>
      <c r="I64" s="2" t="n">
        <v>50</v>
      </c>
      <c r="J64" s="2" t="n">
        <v>50</v>
      </c>
      <c r="K64" s="2" t="n">
        <v>4927</v>
      </c>
      <c r="L64" s="2" t="n">
        <v>4925</v>
      </c>
      <c r="M64" s="2" t="n">
        <v>10151</v>
      </c>
      <c r="N64" s="2"/>
      <c r="O64" s="5" t="n">
        <f aca="false">MAX(0,H64-J64)</f>
        <v>0</v>
      </c>
      <c r="P64" s="6" t="n">
        <f aca="false">IF(H64&gt;0,O64/H64,0)</f>
        <v>0</v>
      </c>
      <c r="Q64" s="7" t="n">
        <f aca="false">K64/10000</f>
        <v>0.4927</v>
      </c>
      <c r="R64" s="7" t="n">
        <f aca="false">L64/10000</f>
        <v>0.4925</v>
      </c>
    </row>
    <row r="65" customFormat="false" ht="15" hidden="false" customHeight="false" outlineLevel="0" collapsed="false">
      <c r="A65" s="2" t="s">
        <v>65</v>
      </c>
      <c r="B65" s="2" t="n">
        <v>1</v>
      </c>
      <c r="C65" s="2" t="s">
        <v>30</v>
      </c>
      <c r="D65" s="2" t="n">
        <v>10</v>
      </c>
      <c r="E65" s="2" t="n">
        <v>100000</v>
      </c>
      <c r="F65" s="2" t="n">
        <v>47</v>
      </c>
      <c r="G65" s="2" t="n">
        <v>20</v>
      </c>
      <c r="H65" s="2" t="n">
        <v>50</v>
      </c>
      <c r="I65" s="2" t="n">
        <v>17</v>
      </c>
      <c r="J65" s="2" t="n">
        <v>17</v>
      </c>
      <c r="K65" s="2" t="n">
        <v>6414</v>
      </c>
      <c r="L65" s="2" t="n">
        <v>6413</v>
      </c>
      <c r="M65" s="2" t="n">
        <v>2651</v>
      </c>
      <c r="N65" s="2"/>
      <c r="O65" s="5" t="n">
        <f aca="false">MAX(0,H65-J65)</f>
        <v>33</v>
      </c>
      <c r="P65" s="6" t="n">
        <f aca="false">IF(H65&gt;0,O65/H65,0)</f>
        <v>0.66</v>
      </c>
      <c r="Q65" s="7" t="n">
        <f aca="false">K65/10000</f>
        <v>0.6414</v>
      </c>
      <c r="R65" s="7" t="n">
        <f aca="false">L65/10000</f>
        <v>0.6413</v>
      </c>
    </row>
    <row r="66" customFormat="false" ht="15" hidden="false" customHeight="false" outlineLevel="0" collapsed="false">
      <c r="A66" s="2" t="s">
        <v>66</v>
      </c>
      <c r="B66" s="2" t="n">
        <v>1</v>
      </c>
      <c r="C66" s="2" t="s">
        <v>30</v>
      </c>
      <c r="D66" s="2" t="n">
        <v>10</v>
      </c>
      <c r="E66" s="2" t="n">
        <v>100000</v>
      </c>
      <c r="F66" s="2" t="n">
        <v>197</v>
      </c>
      <c r="G66" s="2" t="n">
        <v>20</v>
      </c>
      <c r="H66" s="2" t="n">
        <v>50</v>
      </c>
      <c r="I66" s="2" t="n">
        <v>50</v>
      </c>
      <c r="J66" s="2" t="n">
        <v>50</v>
      </c>
      <c r="K66" s="2" t="n">
        <v>1</v>
      </c>
      <c r="L66" s="2" t="n">
        <v>4974</v>
      </c>
      <c r="M66" s="2" t="n">
        <v>10151</v>
      </c>
      <c r="N66" s="2"/>
      <c r="O66" s="5" t="n">
        <f aca="false">MAX(0,H66-J66)</f>
        <v>0</v>
      </c>
      <c r="P66" s="6" t="n">
        <f aca="false">IF(H66&gt;0,O66/H66,0)</f>
        <v>0</v>
      </c>
      <c r="Q66" s="7" t="n">
        <f aca="false">K66/10000</f>
        <v>0.0001</v>
      </c>
      <c r="R66" s="7" t="n">
        <f aca="false">L66/10000</f>
        <v>0.4974</v>
      </c>
    </row>
    <row r="67" customFormat="false" ht="15" hidden="false" customHeight="false" outlineLevel="0" collapsed="false">
      <c r="A67" s="2" t="s">
        <v>67</v>
      </c>
      <c r="B67" s="2" t="n">
        <v>1</v>
      </c>
      <c r="C67" s="2" t="s">
        <v>34</v>
      </c>
      <c r="D67" s="2" t="n">
        <v>10</v>
      </c>
      <c r="E67" s="2" t="n">
        <v>100000</v>
      </c>
      <c r="F67" s="2" t="n">
        <v>197</v>
      </c>
      <c r="G67" s="2" t="n">
        <v>20</v>
      </c>
      <c r="H67" s="2" t="n">
        <v>50</v>
      </c>
      <c r="I67" s="2" t="n">
        <v>50</v>
      </c>
      <c r="J67" s="2" t="n">
        <v>50</v>
      </c>
      <c r="K67" s="2" t="n">
        <v>4926</v>
      </c>
      <c r="L67" s="2" t="n">
        <v>4925</v>
      </c>
      <c r="M67" s="2" t="n">
        <v>10151</v>
      </c>
      <c r="N67" s="2"/>
      <c r="O67" s="5" t="n">
        <f aca="false">MAX(0,H67-J67)</f>
        <v>0</v>
      </c>
      <c r="P67" s="6" t="n">
        <f aca="false">IF(H67&gt;0,O67/H67,0)</f>
        <v>0</v>
      </c>
      <c r="Q67" s="7" t="n">
        <f aca="false">K67/10000</f>
        <v>0.4926</v>
      </c>
      <c r="R67" s="7" t="n">
        <f aca="false">L67/10000</f>
        <v>0.4925</v>
      </c>
    </row>
    <row r="68" customFormat="false" ht="15" hidden="false" customHeight="false" outlineLevel="0" collapsed="false">
      <c r="A68" s="2" t="s">
        <v>68</v>
      </c>
      <c r="B68" s="2" t="n">
        <v>1</v>
      </c>
      <c r="C68" s="2" t="s">
        <v>34</v>
      </c>
      <c r="D68" s="2" t="n">
        <v>10</v>
      </c>
      <c r="E68" s="2" t="n">
        <v>100000</v>
      </c>
      <c r="F68" s="2" t="n">
        <v>47</v>
      </c>
      <c r="G68" s="2" t="n">
        <v>20</v>
      </c>
      <c r="H68" s="2" t="n">
        <v>50</v>
      </c>
      <c r="I68" s="2" t="n">
        <v>50</v>
      </c>
      <c r="J68" s="2" t="n">
        <v>26</v>
      </c>
      <c r="K68" s="2" t="n">
        <v>9808</v>
      </c>
      <c r="L68" s="2" t="n">
        <v>9808</v>
      </c>
      <c r="M68" s="2" t="n">
        <v>2651</v>
      </c>
      <c r="N68" s="2"/>
      <c r="O68" s="5" t="n">
        <f aca="false">MAX(0,H68-J68)</f>
        <v>24</v>
      </c>
      <c r="P68" s="6" t="n">
        <f aca="false">IF(H68&gt;0,O68/H68,0)</f>
        <v>0.48</v>
      </c>
      <c r="Q68" s="7" t="n">
        <f aca="false">K68/10000</f>
        <v>0.9808</v>
      </c>
      <c r="R68" s="7" t="n">
        <f aca="false">L68/10000</f>
        <v>0.9808</v>
      </c>
    </row>
    <row r="69" customFormat="false" ht="15" hidden="false" customHeight="false" outlineLevel="0" collapsed="false">
      <c r="A69" s="2" t="s">
        <v>69</v>
      </c>
      <c r="B69" s="2" t="n">
        <v>1</v>
      </c>
      <c r="C69" s="2" t="s">
        <v>34</v>
      </c>
      <c r="D69" s="2" t="n">
        <v>10</v>
      </c>
      <c r="E69" s="2" t="n">
        <v>100000</v>
      </c>
      <c r="F69" s="2" t="n">
        <v>197</v>
      </c>
      <c r="G69" s="2" t="n">
        <v>20</v>
      </c>
      <c r="H69" s="2" t="n">
        <v>50</v>
      </c>
      <c r="I69" s="2" t="n">
        <v>50</v>
      </c>
      <c r="J69" s="2" t="n">
        <v>50</v>
      </c>
      <c r="K69" s="2" t="n">
        <v>0</v>
      </c>
      <c r="L69" s="2" t="n">
        <v>4974</v>
      </c>
      <c r="M69" s="2" t="n">
        <v>10151</v>
      </c>
      <c r="N69" s="2"/>
      <c r="O69" s="5" t="n">
        <f aca="false">MAX(0,H69-J69)</f>
        <v>0</v>
      </c>
      <c r="P69" s="6" t="n">
        <f aca="false">IF(H69&gt;0,O69/H69,0)</f>
        <v>0</v>
      </c>
      <c r="Q69" s="7" t="n">
        <f aca="false">K69/10000</f>
        <v>0</v>
      </c>
      <c r="R69" s="7" t="n">
        <f aca="false">L69/10000</f>
        <v>0.4974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11" min="4" style="0" width="12"/>
  </cols>
  <sheetData>
    <row r="1" customFormat="false" ht="35.05" hidden="false" customHeight="false" outlineLevel="0" collapsed="false">
      <c r="A1" s="3" t="s">
        <v>11</v>
      </c>
      <c r="B1" s="3" t="s">
        <v>12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</row>
    <row r="2" customFormat="false" ht="15" hidden="false" customHeight="false" outlineLevel="0" collapsed="false">
      <c r="A2" s="2" t="s">
        <v>91</v>
      </c>
      <c r="B2" s="2" t="n">
        <v>1</v>
      </c>
      <c r="C2" s="2" t="s">
        <v>92</v>
      </c>
      <c r="D2" s="2" t="n">
        <v>560</v>
      </c>
      <c r="E2" s="2" t="n">
        <v>1024</v>
      </c>
      <c r="F2" s="2" t="n">
        <v>0</v>
      </c>
      <c r="G2" s="8" t="n">
        <f aca="false">D2/E2</f>
        <v>0.546875</v>
      </c>
      <c r="H2" s="8" t="n">
        <f aca="false">F2/100</f>
        <v>0</v>
      </c>
    </row>
    <row r="3" customFormat="false" ht="15" hidden="false" customHeight="false" outlineLevel="0" collapsed="false">
      <c r="A3" s="2" t="s">
        <v>91</v>
      </c>
      <c r="B3" s="2" t="n">
        <v>1</v>
      </c>
      <c r="C3" s="2" t="s">
        <v>93</v>
      </c>
      <c r="D3" s="2" t="n">
        <v>208</v>
      </c>
      <c r="E3" s="2" t="n">
        <v>1024</v>
      </c>
      <c r="F3" s="2" t="n">
        <v>99</v>
      </c>
      <c r="G3" s="8" t="n">
        <f aca="false">D3/E3</f>
        <v>0.203125</v>
      </c>
      <c r="H3" s="8" t="n">
        <f aca="false">F3/100</f>
        <v>0.99</v>
      </c>
    </row>
    <row r="4" customFormat="false" ht="15" hidden="false" customHeight="false" outlineLevel="0" collapsed="false">
      <c r="A4" s="2" t="s">
        <v>91</v>
      </c>
      <c r="B4" s="2" t="n">
        <v>1</v>
      </c>
      <c r="C4" s="2" t="s">
        <v>94</v>
      </c>
      <c r="D4" s="2" t="n">
        <v>928</v>
      </c>
      <c r="E4" s="2" t="n">
        <v>4096</v>
      </c>
      <c r="F4" s="2" t="n">
        <v>0</v>
      </c>
      <c r="G4" s="8" t="n">
        <f aca="false">D4/E4</f>
        <v>0.2265625</v>
      </c>
      <c r="H4" s="8" t="n">
        <f aca="false">F4/100</f>
        <v>0</v>
      </c>
    </row>
    <row r="5" customFormat="false" ht="15" hidden="false" customHeight="false" outlineLevel="0" collapsed="false">
      <c r="A5" s="2" t="s">
        <v>95</v>
      </c>
      <c r="B5" s="2" t="n">
        <v>1</v>
      </c>
      <c r="C5" s="2" t="s">
        <v>96</v>
      </c>
      <c r="D5" s="2" t="n">
        <v>576</v>
      </c>
      <c r="E5" s="2" t="n">
        <v>1024</v>
      </c>
      <c r="F5" s="2" t="n">
        <v>0</v>
      </c>
      <c r="G5" s="8" t="n">
        <f aca="false">D5/E5</f>
        <v>0.5625</v>
      </c>
      <c r="H5" s="8" t="n">
        <f aca="false">F5/100</f>
        <v>0</v>
      </c>
    </row>
    <row r="6" customFormat="false" ht="15" hidden="false" customHeight="false" outlineLevel="0" collapsed="false">
      <c r="A6" s="2" t="s">
        <v>95</v>
      </c>
      <c r="B6" s="2" t="n">
        <v>1</v>
      </c>
      <c r="C6" s="2" t="s">
        <v>93</v>
      </c>
      <c r="D6" s="2" t="n">
        <v>208</v>
      </c>
      <c r="E6" s="2" t="n">
        <v>1024</v>
      </c>
      <c r="F6" s="2" t="n">
        <v>99</v>
      </c>
      <c r="G6" s="8" t="n">
        <f aca="false">D6/E6</f>
        <v>0.203125</v>
      </c>
      <c r="H6" s="8" t="n">
        <f aca="false">F6/100</f>
        <v>0.99</v>
      </c>
    </row>
    <row r="7" customFormat="false" ht="15" hidden="false" customHeight="false" outlineLevel="0" collapsed="false">
      <c r="A7" s="2" t="s">
        <v>95</v>
      </c>
      <c r="B7" s="2" t="n">
        <v>1</v>
      </c>
      <c r="C7" s="2" t="s">
        <v>94</v>
      </c>
      <c r="D7" s="2" t="n">
        <v>928</v>
      </c>
      <c r="E7" s="2" t="n">
        <v>4096</v>
      </c>
      <c r="F7" s="2" t="n">
        <v>0</v>
      </c>
      <c r="G7" s="8" t="n">
        <f aca="false">D7/E7</f>
        <v>0.2265625</v>
      </c>
      <c r="H7" s="8" t="n">
        <f aca="false">F7/100</f>
        <v>0</v>
      </c>
    </row>
    <row r="8" customFormat="false" ht="15" hidden="false" customHeight="false" outlineLevel="0" collapsed="false">
      <c r="A8" s="2" t="s">
        <v>95</v>
      </c>
      <c r="B8" s="2" t="n">
        <v>1</v>
      </c>
      <c r="C8" s="2" t="s">
        <v>97</v>
      </c>
      <c r="D8" s="2" t="n">
        <v>352</v>
      </c>
      <c r="E8" s="2" t="n">
        <v>2048</v>
      </c>
      <c r="F8" s="2" t="n">
        <v>0</v>
      </c>
      <c r="G8" s="8" t="n">
        <f aca="false">D8/E8</f>
        <v>0.171875</v>
      </c>
      <c r="H8" s="8" t="n">
        <f aca="false">F8/100</f>
        <v>0</v>
      </c>
    </row>
    <row r="9" customFormat="false" ht="15" hidden="false" customHeight="false" outlineLevel="0" collapsed="false">
      <c r="A9" s="2" t="s">
        <v>98</v>
      </c>
      <c r="B9" s="2" t="n">
        <v>1</v>
      </c>
      <c r="C9" s="2" t="s">
        <v>99</v>
      </c>
      <c r="D9" s="2" t="n">
        <v>608</v>
      </c>
      <c r="E9" s="2" t="n">
        <v>1024</v>
      </c>
      <c r="F9" s="2" t="n">
        <v>0</v>
      </c>
      <c r="G9" s="8" t="n">
        <f aca="false">D9/E9</f>
        <v>0.59375</v>
      </c>
      <c r="H9" s="8" t="n">
        <f aca="false">F9/100</f>
        <v>0</v>
      </c>
    </row>
    <row r="10" customFormat="false" ht="15" hidden="false" customHeight="false" outlineLevel="0" collapsed="false">
      <c r="A10" s="2" t="s">
        <v>22</v>
      </c>
      <c r="B10" s="2" t="n">
        <v>1</v>
      </c>
      <c r="C10" s="2" t="s">
        <v>92</v>
      </c>
      <c r="D10" s="2" t="n">
        <v>288</v>
      </c>
      <c r="E10" s="2" t="n">
        <v>1024</v>
      </c>
      <c r="F10" s="2" t="n">
        <v>0</v>
      </c>
      <c r="G10" s="8" t="n">
        <f aca="false">D10/E10</f>
        <v>0.28125</v>
      </c>
      <c r="H10" s="8" t="n">
        <f aca="false">F10/100</f>
        <v>0</v>
      </c>
    </row>
    <row r="11" customFormat="false" ht="15" hidden="false" customHeight="false" outlineLevel="0" collapsed="false">
      <c r="A11" s="2" t="s">
        <v>22</v>
      </c>
      <c r="B11" s="2" t="n">
        <v>1</v>
      </c>
      <c r="C11" s="2" t="s">
        <v>93</v>
      </c>
      <c r="D11" s="2" t="n">
        <v>208</v>
      </c>
      <c r="E11" s="2" t="n">
        <v>1024</v>
      </c>
      <c r="F11" s="2" t="n">
        <v>99</v>
      </c>
      <c r="G11" s="8" t="n">
        <f aca="false">D11/E11</f>
        <v>0.203125</v>
      </c>
      <c r="H11" s="8" t="n">
        <f aca="false">F11/100</f>
        <v>0.99</v>
      </c>
    </row>
    <row r="12" customFormat="false" ht="15" hidden="false" customHeight="false" outlineLevel="0" collapsed="false">
      <c r="A12" s="2" t="s">
        <v>22</v>
      </c>
      <c r="B12" s="2" t="n">
        <v>1</v>
      </c>
      <c r="C12" s="2" t="s">
        <v>94</v>
      </c>
      <c r="D12" s="2" t="n">
        <v>1024</v>
      </c>
      <c r="E12" s="2" t="n">
        <v>4096</v>
      </c>
      <c r="F12" s="2" t="n">
        <v>0</v>
      </c>
      <c r="G12" s="8" t="n">
        <f aca="false">D12/E12</f>
        <v>0.25</v>
      </c>
      <c r="H12" s="8" t="n">
        <f aca="false">F12/100</f>
        <v>0</v>
      </c>
    </row>
    <row r="13" customFormat="false" ht="15" hidden="false" customHeight="false" outlineLevel="0" collapsed="false">
      <c r="A13" s="2" t="s">
        <v>22</v>
      </c>
      <c r="B13" s="2" t="n">
        <v>1</v>
      </c>
      <c r="C13" s="2" t="s">
        <v>97</v>
      </c>
      <c r="D13" s="2" t="n">
        <v>368</v>
      </c>
      <c r="E13" s="2" t="n">
        <v>2048</v>
      </c>
      <c r="F13" s="2" t="n">
        <v>0</v>
      </c>
      <c r="G13" s="8" t="n">
        <f aca="false">D13/E13</f>
        <v>0.1796875</v>
      </c>
      <c r="H13" s="8" t="n">
        <f aca="false">F13/100</f>
        <v>0</v>
      </c>
    </row>
    <row r="14" customFormat="false" ht="15" hidden="false" customHeight="false" outlineLevel="0" collapsed="false">
      <c r="A14" s="2" t="s">
        <v>28</v>
      </c>
      <c r="B14" s="2" t="n">
        <v>1</v>
      </c>
      <c r="C14" s="2" t="s">
        <v>92</v>
      </c>
      <c r="D14" s="2" t="n">
        <v>288</v>
      </c>
      <c r="E14" s="2" t="n">
        <v>1024</v>
      </c>
      <c r="F14" s="2" t="n">
        <v>0</v>
      </c>
      <c r="G14" s="8" t="n">
        <f aca="false">D14/E14</f>
        <v>0.28125</v>
      </c>
      <c r="H14" s="8" t="n">
        <f aca="false">F14/100</f>
        <v>0</v>
      </c>
    </row>
    <row r="15" customFormat="false" ht="15" hidden="false" customHeight="false" outlineLevel="0" collapsed="false">
      <c r="A15" s="2" t="s">
        <v>28</v>
      </c>
      <c r="B15" s="2" t="n">
        <v>1</v>
      </c>
      <c r="C15" s="2" t="s">
        <v>93</v>
      </c>
      <c r="D15" s="2" t="n">
        <v>208</v>
      </c>
      <c r="E15" s="2" t="n">
        <v>1024</v>
      </c>
      <c r="F15" s="2" t="n">
        <v>99</v>
      </c>
      <c r="G15" s="8" t="n">
        <f aca="false">D15/E15</f>
        <v>0.203125</v>
      </c>
      <c r="H15" s="8" t="n">
        <f aca="false">F15/100</f>
        <v>0.99</v>
      </c>
    </row>
    <row r="16" customFormat="false" ht="15" hidden="false" customHeight="false" outlineLevel="0" collapsed="false">
      <c r="A16" s="2" t="s">
        <v>28</v>
      </c>
      <c r="B16" s="2" t="n">
        <v>1</v>
      </c>
      <c r="C16" s="2" t="s">
        <v>94</v>
      </c>
      <c r="D16" s="2" t="n">
        <v>1024</v>
      </c>
      <c r="E16" s="2" t="n">
        <v>4096</v>
      </c>
      <c r="F16" s="2" t="n">
        <v>0</v>
      </c>
      <c r="G16" s="8" t="n">
        <f aca="false">D16/E16</f>
        <v>0.25</v>
      </c>
      <c r="H16" s="8" t="n">
        <f aca="false">F16/100</f>
        <v>0</v>
      </c>
    </row>
    <row r="17" customFormat="false" ht="15" hidden="false" customHeight="false" outlineLevel="0" collapsed="false">
      <c r="A17" s="2" t="s">
        <v>28</v>
      </c>
      <c r="B17" s="2" t="n">
        <v>1</v>
      </c>
      <c r="C17" s="2" t="s">
        <v>97</v>
      </c>
      <c r="D17" s="2" t="n">
        <v>368</v>
      </c>
      <c r="E17" s="2" t="n">
        <v>2048</v>
      </c>
      <c r="F17" s="2" t="n">
        <v>0</v>
      </c>
      <c r="G17" s="8" t="n">
        <f aca="false">D17/E17</f>
        <v>0.1796875</v>
      </c>
      <c r="H17" s="8" t="n">
        <f aca="false">F17/100</f>
        <v>0</v>
      </c>
    </row>
    <row r="18" customFormat="false" ht="15" hidden="false" customHeight="false" outlineLevel="0" collapsed="false">
      <c r="A18" s="2" t="s">
        <v>28</v>
      </c>
      <c r="B18" s="2" t="n">
        <v>2</v>
      </c>
      <c r="C18" s="2" t="s">
        <v>92</v>
      </c>
      <c r="D18" s="2" t="n">
        <v>288</v>
      </c>
      <c r="E18" s="2" t="n">
        <v>1024</v>
      </c>
      <c r="F18" s="2" t="n">
        <v>0</v>
      </c>
      <c r="G18" s="8" t="n">
        <f aca="false">D18/E18</f>
        <v>0.28125</v>
      </c>
      <c r="H18" s="8" t="n">
        <f aca="false">F18/100</f>
        <v>0</v>
      </c>
    </row>
    <row r="19" customFormat="false" ht="15" hidden="false" customHeight="false" outlineLevel="0" collapsed="false">
      <c r="A19" s="2" t="s">
        <v>28</v>
      </c>
      <c r="B19" s="2" t="n">
        <v>2</v>
      </c>
      <c r="C19" s="2" t="s">
        <v>93</v>
      </c>
      <c r="D19" s="2" t="n">
        <v>208</v>
      </c>
      <c r="E19" s="2" t="n">
        <v>1024</v>
      </c>
      <c r="F19" s="2" t="n">
        <v>99</v>
      </c>
      <c r="G19" s="8" t="n">
        <f aca="false">D19/E19</f>
        <v>0.203125</v>
      </c>
      <c r="H19" s="8" t="n">
        <f aca="false">F19/100</f>
        <v>0.99</v>
      </c>
    </row>
    <row r="20" customFormat="false" ht="15" hidden="false" customHeight="false" outlineLevel="0" collapsed="false">
      <c r="A20" s="2" t="s">
        <v>28</v>
      </c>
      <c r="B20" s="2" t="n">
        <v>2</v>
      </c>
      <c r="C20" s="2" t="s">
        <v>94</v>
      </c>
      <c r="D20" s="2" t="n">
        <v>1024</v>
      </c>
      <c r="E20" s="2" t="n">
        <v>4096</v>
      </c>
      <c r="F20" s="2" t="n">
        <v>0</v>
      </c>
      <c r="G20" s="8" t="n">
        <f aca="false">D20/E20</f>
        <v>0.25</v>
      </c>
      <c r="H20" s="8" t="n">
        <f aca="false">F20/100</f>
        <v>0</v>
      </c>
    </row>
    <row r="21" customFormat="false" ht="15" hidden="false" customHeight="false" outlineLevel="0" collapsed="false">
      <c r="A21" s="2" t="s">
        <v>28</v>
      </c>
      <c r="B21" s="2" t="n">
        <v>2</v>
      </c>
      <c r="C21" s="2" t="s">
        <v>97</v>
      </c>
      <c r="D21" s="2" t="n">
        <v>368</v>
      </c>
      <c r="E21" s="2" t="n">
        <v>2048</v>
      </c>
      <c r="F21" s="2" t="n">
        <v>0</v>
      </c>
      <c r="G21" s="8" t="n">
        <f aca="false">D21/E21</f>
        <v>0.1796875</v>
      </c>
      <c r="H21" s="8" t="n">
        <f aca="false">F21/100</f>
        <v>0</v>
      </c>
    </row>
    <row r="22" customFormat="false" ht="15" hidden="false" customHeight="false" outlineLevel="0" collapsed="false">
      <c r="A22" s="2" t="s">
        <v>28</v>
      </c>
      <c r="B22" s="2" t="n">
        <v>3</v>
      </c>
      <c r="C22" s="2" t="s">
        <v>92</v>
      </c>
      <c r="D22" s="2" t="n">
        <v>288</v>
      </c>
      <c r="E22" s="2" t="n">
        <v>1024</v>
      </c>
      <c r="F22" s="2" t="n">
        <v>0</v>
      </c>
      <c r="G22" s="8" t="n">
        <f aca="false">D22/E22</f>
        <v>0.28125</v>
      </c>
      <c r="H22" s="8" t="n">
        <f aca="false">F22/100</f>
        <v>0</v>
      </c>
    </row>
    <row r="23" customFormat="false" ht="15" hidden="false" customHeight="false" outlineLevel="0" collapsed="false">
      <c r="A23" s="2" t="s">
        <v>28</v>
      </c>
      <c r="B23" s="2" t="n">
        <v>3</v>
      </c>
      <c r="C23" s="2" t="s">
        <v>93</v>
      </c>
      <c r="D23" s="2" t="n">
        <v>208</v>
      </c>
      <c r="E23" s="2" t="n">
        <v>1024</v>
      </c>
      <c r="F23" s="2" t="n">
        <v>99</v>
      </c>
      <c r="G23" s="8" t="n">
        <f aca="false">D23/E23</f>
        <v>0.203125</v>
      </c>
      <c r="H23" s="8" t="n">
        <f aca="false">F23/100</f>
        <v>0.99</v>
      </c>
    </row>
    <row r="24" customFormat="false" ht="15" hidden="false" customHeight="false" outlineLevel="0" collapsed="false">
      <c r="A24" s="2" t="s">
        <v>28</v>
      </c>
      <c r="B24" s="2" t="n">
        <v>3</v>
      </c>
      <c r="C24" s="2" t="s">
        <v>94</v>
      </c>
      <c r="D24" s="2" t="n">
        <v>1024</v>
      </c>
      <c r="E24" s="2" t="n">
        <v>4096</v>
      </c>
      <c r="F24" s="2" t="n">
        <v>0</v>
      </c>
      <c r="G24" s="8" t="n">
        <f aca="false">D24/E24</f>
        <v>0.25</v>
      </c>
      <c r="H24" s="8" t="n">
        <f aca="false">F24/100</f>
        <v>0</v>
      </c>
    </row>
    <row r="25" customFormat="false" ht="15" hidden="false" customHeight="false" outlineLevel="0" collapsed="false">
      <c r="A25" s="2" t="s">
        <v>28</v>
      </c>
      <c r="B25" s="2" t="n">
        <v>3</v>
      </c>
      <c r="C25" s="2" t="s">
        <v>97</v>
      </c>
      <c r="D25" s="2" t="n">
        <v>368</v>
      </c>
      <c r="E25" s="2" t="n">
        <v>2048</v>
      </c>
      <c r="F25" s="2" t="n">
        <v>0</v>
      </c>
      <c r="G25" s="8" t="n">
        <f aca="false">D25/E25</f>
        <v>0.1796875</v>
      </c>
      <c r="H25" s="8" t="n">
        <f aca="false">F25/100</f>
        <v>0</v>
      </c>
    </row>
    <row r="26" customFormat="false" ht="15" hidden="false" customHeight="false" outlineLevel="0" collapsed="false">
      <c r="A26" s="2" t="s">
        <v>29</v>
      </c>
      <c r="B26" s="2" t="n">
        <v>1</v>
      </c>
      <c r="C26" s="2" t="s">
        <v>96</v>
      </c>
      <c r="D26" s="2" t="n">
        <v>256</v>
      </c>
      <c r="E26" s="2" t="n">
        <v>1024</v>
      </c>
      <c r="F26" s="2" t="n">
        <v>0</v>
      </c>
      <c r="G26" s="8" t="n">
        <f aca="false">D26/E26</f>
        <v>0.25</v>
      </c>
      <c r="H26" s="8" t="n">
        <f aca="false">F26/100</f>
        <v>0</v>
      </c>
    </row>
    <row r="27" customFormat="false" ht="15" hidden="false" customHeight="false" outlineLevel="0" collapsed="false">
      <c r="A27" s="2" t="s">
        <v>29</v>
      </c>
      <c r="B27" s="2" t="n">
        <v>1</v>
      </c>
      <c r="C27" s="2" t="s">
        <v>93</v>
      </c>
      <c r="D27" s="2" t="n">
        <v>208</v>
      </c>
      <c r="E27" s="2" t="n">
        <v>1024</v>
      </c>
      <c r="F27" s="2" t="n">
        <v>99</v>
      </c>
      <c r="G27" s="8" t="n">
        <f aca="false">D27/E27</f>
        <v>0.203125</v>
      </c>
      <c r="H27" s="8" t="n">
        <f aca="false">F27/100</f>
        <v>0.99</v>
      </c>
    </row>
    <row r="28" customFormat="false" ht="15" hidden="false" customHeight="false" outlineLevel="0" collapsed="false">
      <c r="A28" s="2" t="s">
        <v>29</v>
      </c>
      <c r="B28" s="2" t="n">
        <v>1</v>
      </c>
      <c r="C28" s="2" t="s">
        <v>94</v>
      </c>
      <c r="D28" s="2" t="n">
        <v>1024</v>
      </c>
      <c r="E28" s="2" t="n">
        <v>4096</v>
      </c>
      <c r="F28" s="2" t="n">
        <v>0</v>
      </c>
      <c r="G28" s="8" t="n">
        <f aca="false">D28/E28</f>
        <v>0.25</v>
      </c>
      <c r="H28" s="8" t="n">
        <f aca="false">F28/100</f>
        <v>0</v>
      </c>
    </row>
    <row r="29" customFormat="false" ht="15" hidden="false" customHeight="false" outlineLevel="0" collapsed="false">
      <c r="A29" s="2" t="s">
        <v>29</v>
      </c>
      <c r="B29" s="2" t="n">
        <v>1</v>
      </c>
      <c r="C29" s="2" t="s">
        <v>97</v>
      </c>
      <c r="D29" s="2" t="n">
        <v>352</v>
      </c>
      <c r="E29" s="2" t="n">
        <v>2048</v>
      </c>
      <c r="F29" s="2" t="n">
        <v>0</v>
      </c>
      <c r="G29" s="8" t="n">
        <f aca="false">D29/E29</f>
        <v>0.171875</v>
      </c>
      <c r="H29" s="8" t="n">
        <f aca="false">F29/100</f>
        <v>0</v>
      </c>
    </row>
    <row r="30" customFormat="false" ht="15" hidden="false" customHeight="false" outlineLevel="0" collapsed="false">
      <c r="A30" s="2" t="s">
        <v>31</v>
      </c>
      <c r="B30" s="2" t="n">
        <v>1</v>
      </c>
      <c r="C30" s="2" t="s">
        <v>96</v>
      </c>
      <c r="D30" s="2" t="n">
        <v>256</v>
      </c>
      <c r="E30" s="2" t="n">
        <v>1024</v>
      </c>
      <c r="F30" s="2" t="n">
        <v>0</v>
      </c>
      <c r="G30" s="8" t="n">
        <f aca="false">D30/E30</f>
        <v>0.25</v>
      </c>
      <c r="H30" s="8" t="n">
        <f aca="false">F30/100</f>
        <v>0</v>
      </c>
    </row>
    <row r="31" customFormat="false" ht="15" hidden="false" customHeight="false" outlineLevel="0" collapsed="false">
      <c r="A31" s="2" t="s">
        <v>31</v>
      </c>
      <c r="B31" s="2" t="n">
        <v>1</v>
      </c>
      <c r="C31" s="2" t="s">
        <v>93</v>
      </c>
      <c r="D31" s="2" t="n">
        <v>208</v>
      </c>
      <c r="E31" s="2" t="n">
        <v>1024</v>
      </c>
      <c r="F31" s="2" t="n">
        <v>99</v>
      </c>
      <c r="G31" s="8" t="n">
        <f aca="false">D31/E31</f>
        <v>0.203125</v>
      </c>
      <c r="H31" s="8" t="n">
        <f aca="false">F31/100</f>
        <v>0.99</v>
      </c>
    </row>
    <row r="32" customFormat="false" ht="15" hidden="false" customHeight="false" outlineLevel="0" collapsed="false">
      <c r="A32" s="2" t="s">
        <v>31</v>
      </c>
      <c r="B32" s="2" t="n">
        <v>1</v>
      </c>
      <c r="C32" s="2" t="s">
        <v>94</v>
      </c>
      <c r="D32" s="2" t="n">
        <v>1024</v>
      </c>
      <c r="E32" s="2" t="n">
        <v>4096</v>
      </c>
      <c r="F32" s="2" t="n">
        <v>0</v>
      </c>
      <c r="G32" s="8" t="n">
        <f aca="false">D32/E32</f>
        <v>0.25</v>
      </c>
      <c r="H32" s="8" t="n">
        <f aca="false">F32/100</f>
        <v>0</v>
      </c>
    </row>
    <row r="33" customFormat="false" ht="15" hidden="false" customHeight="false" outlineLevel="0" collapsed="false">
      <c r="A33" s="2" t="s">
        <v>31</v>
      </c>
      <c r="B33" s="2" t="n">
        <v>1</v>
      </c>
      <c r="C33" s="2" t="s">
        <v>97</v>
      </c>
      <c r="D33" s="2" t="n">
        <v>352</v>
      </c>
      <c r="E33" s="2" t="n">
        <v>2048</v>
      </c>
      <c r="F33" s="2" t="n">
        <v>0</v>
      </c>
      <c r="G33" s="8" t="n">
        <f aca="false">D33/E33</f>
        <v>0.171875</v>
      </c>
      <c r="H33" s="8" t="n">
        <f aca="false">F33/100</f>
        <v>0</v>
      </c>
    </row>
    <row r="34" customFormat="false" ht="15" hidden="false" customHeight="false" outlineLevel="0" collapsed="false">
      <c r="A34" s="2" t="s">
        <v>31</v>
      </c>
      <c r="B34" s="2" t="n">
        <v>2</v>
      </c>
      <c r="C34" s="2" t="s">
        <v>96</v>
      </c>
      <c r="D34" s="2" t="n">
        <v>256</v>
      </c>
      <c r="E34" s="2" t="n">
        <v>1024</v>
      </c>
      <c r="F34" s="2" t="n">
        <v>0</v>
      </c>
      <c r="G34" s="8" t="n">
        <f aca="false">D34/E34</f>
        <v>0.25</v>
      </c>
      <c r="H34" s="8" t="n">
        <f aca="false">F34/100</f>
        <v>0</v>
      </c>
    </row>
    <row r="35" customFormat="false" ht="15" hidden="false" customHeight="false" outlineLevel="0" collapsed="false">
      <c r="A35" s="2" t="s">
        <v>31</v>
      </c>
      <c r="B35" s="2" t="n">
        <v>2</v>
      </c>
      <c r="C35" s="2" t="s">
        <v>93</v>
      </c>
      <c r="D35" s="2" t="n">
        <v>208</v>
      </c>
      <c r="E35" s="2" t="n">
        <v>1024</v>
      </c>
      <c r="F35" s="2" t="n">
        <v>99</v>
      </c>
      <c r="G35" s="8" t="n">
        <f aca="false">D35/E35</f>
        <v>0.203125</v>
      </c>
      <c r="H35" s="8" t="n">
        <f aca="false">F35/100</f>
        <v>0.99</v>
      </c>
    </row>
    <row r="36" customFormat="false" ht="15" hidden="false" customHeight="false" outlineLevel="0" collapsed="false">
      <c r="A36" s="2" t="s">
        <v>31</v>
      </c>
      <c r="B36" s="2" t="n">
        <v>2</v>
      </c>
      <c r="C36" s="2" t="s">
        <v>94</v>
      </c>
      <c r="D36" s="2" t="n">
        <v>1024</v>
      </c>
      <c r="E36" s="2" t="n">
        <v>4096</v>
      </c>
      <c r="F36" s="2" t="n">
        <v>0</v>
      </c>
      <c r="G36" s="8" t="n">
        <f aca="false">D36/E36</f>
        <v>0.25</v>
      </c>
      <c r="H36" s="8" t="n">
        <f aca="false">F36/100</f>
        <v>0</v>
      </c>
    </row>
    <row r="37" customFormat="false" ht="15" hidden="false" customHeight="false" outlineLevel="0" collapsed="false">
      <c r="A37" s="2" t="s">
        <v>31</v>
      </c>
      <c r="B37" s="2" t="n">
        <v>2</v>
      </c>
      <c r="C37" s="2" t="s">
        <v>97</v>
      </c>
      <c r="D37" s="2" t="n">
        <v>352</v>
      </c>
      <c r="E37" s="2" t="n">
        <v>2048</v>
      </c>
      <c r="F37" s="2" t="n">
        <v>0</v>
      </c>
      <c r="G37" s="8" t="n">
        <f aca="false">D37/E37</f>
        <v>0.171875</v>
      </c>
      <c r="H37" s="8" t="n">
        <f aca="false">F37/100</f>
        <v>0</v>
      </c>
    </row>
    <row r="38" customFormat="false" ht="15" hidden="false" customHeight="false" outlineLevel="0" collapsed="false">
      <c r="A38" s="2" t="s">
        <v>31</v>
      </c>
      <c r="B38" s="2" t="n">
        <v>3</v>
      </c>
      <c r="C38" s="2" t="s">
        <v>96</v>
      </c>
      <c r="D38" s="2" t="n">
        <v>256</v>
      </c>
      <c r="E38" s="2" t="n">
        <v>1024</v>
      </c>
      <c r="F38" s="2" t="n">
        <v>0</v>
      </c>
      <c r="G38" s="8" t="n">
        <f aca="false">D38/E38</f>
        <v>0.25</v>
      </c>
      <c r="H38" s="8" t="n">
        <f aca="false">F38/100</f>
        <v>0</v>
      </c>
    </row>
    <row r="39" customFormat="false" ht="15" hidden="false" customHeight="false" outlineLevel="0" collapsed="false">
      <c r="A39" s="2" t="s">
        <v>31</v>
      </c>
      <c r="B39" s="2" t="n">
        <v>3</v>
      </c>
      <c r="C39" s="2" t="s">
        <v>93</v>
      </c>
      <c r="D39" s="2" t="n">
        <v>208</v>
      </c>
      <c r="E39" s="2" t="n">
        <v>1024</v>
      </c>
      <c r="F39" s="2" t="n">
        <v>99</v>
      </c>
      <c r="G39" s="8" t="n">
        <f aca="false">D39/E39</f>
        <v>0.203125</v>
      </c>
      <c r="H39" s="8" t="n">
        <f aca="false">F39/100</f>
        <v>0.99</v>
      </c>
    </row>
    <row r="40" customFormat="false" ht="15" hidden="false" customHeight="false" outlineLevel="0" collapsed="false">
      <c r="A40" s="2" t="s">
        <v>31</v>
      </c>
      <c r="B40" s="2" t="n">
        <v>3</v>
      </c>
      <c r="C40" s="2" t="s">
        <v>94</v>
      </c>
      <c r="D40" s="2" t="n">
        <v>1024</v>
      </c>
      <c r="E40" s="2" t="n">
        <v>4096</v>
      </c>
      <c r="F40" s="2" t="n">
        <v>0</v>
      </c>
      <c r="G40" s="8" t="n">
        <f aca="false">D40/E40</f>
        <v>0.25</v>
      </c>
      <c r="H40" s="8" t="n">
        <f aca="false">F40/100</f>
        <v>0</v>
      </c>
    </row>
    <row r="41" customFormat="false" ht="15" hidden="false" customHeight="false" outlineLevel="0" collapsed="false">
      <c r="A41" s="2" t="s">
        <v>31</v>
      </c>
      <c r="B41" s="2" t="n">
        <v>3</v>
      </c>
      <c r="C41" s="2" t="s">
        <v>97</v>
      </c>
      <c r="D41" s="2" t="n">
        <v>352</v>
      </c>
      <c r="E41" s="2" t="n">
        <v>2048</v>
      </c>
      <c r="F41" s="2" t="n">
        <v>0</v>
      </c>
      <c r="G41" s="8" t="n">
        <f aca="false">D41/E41</f>
        <v>0.171875</v>
      </c>
      <c r="H41" s="8" t="n">
        <f aca="false">F41/100</f>
        <v>0</v>
      </c>
    </row>
    <row r="42" customFormat="false" ht="15" hidden="false" customHeight="false" outlineLevel="0" collapsed="false">
      <c r="A42" s="2" t="s">
        <v>32</v>
      </c>
      <c r="B42" s="2" t="n">
        <v>1</v>
      </c>
      <c r="C42" s="2" t="s">
        <v>96</v>
      </c>
      <c r="D42" s="2" t="n">
        <v>256</v>
      </c>
      <c r="E42" s="2" t="n">
        <v>1024</v>
      </c>
      <c r="F42" s="2" t="n">
        <v>0</v>
      </c>
      <c r="G42" s="8" t="n">
        <f aca="false">D42/E42</f>
        <v>0.25</v>
      </c>
      <c r="H42" s="8" t="n">
        <f aca="false">F42/100</f>
        <v>0</v>
      </c>
    </row>
    <row r="43" customFormat="false" ht="15" hidden="false" customHeight="false" outlineLevel="0" collapsed="false">
      <c r="A43" s="2" t="s">
        <v>32</v>
      </c>
      <c r="B43" s="2" t="n">
        <v>1</v>
      </c>
      <c r="C43" s="2" t="s">
        <v>93</v>
      </c>
      <c r="D43" s="2" t="n">
        <v>208</v>
      </c>
      <c r="E43" s="2" t="n">
        <v>1024</v>
      </c>
      <c r="F43" s="2" t="n">
        <v>99</v>
      </c>
      <c r="G43" s="8" t="n">
        <f aca="false">D43/E43</f>
        <v>0.203125</v>
      </c>
      <c r="H43" s="8" t="n">
        <f aca="false">F43/100</f>
        <v>0.99</v>
      </c>
    </row>
    <row r="44" customFormat="false" ht="15" hidden="false" customHeight="false" outlineLevel="0" collapsed="false">
      <c r="A44" s="2" t="s">
        <v>32</v>
      </c>
      <c r="B44" s="2" t="n">
        <v>1</v>
      </c>
      <c r="C44" s="2" t="s">
        <v>94</v>
      </c>
      <c r="D44" s="2" t="n">
        <v>1024</v>
      </c>
      <c r="E44" s="2" t="n">
        <v>4096</v>
      </c>
      <c r="F44" s="2" t="n">
        <v>0</v>
      </c>
      <c r="G44" s="8" t="n">
        <f aca="false">D44/E44</f>
        <v>0.25</v>
      </c>
      <c r="H44" s="8" t="n">
        <f aca="false">F44/100</f>
        <v>0</v>
      </c>
    </row>
    <row r="45" customFormat="false" ht="15" hidden="false" customHeight="false" outlineLevel="0" collapsed="false">
      <c r="A45" s="2" t="s">
        <v>32</v>
      </c>
      <c r="B45" s="2" t="n">
        <v>1</v>
      </c>
      <c r="C45" s="2" t="s">
        <v>97</v>
      </c>
      <c r="D45" s="2" t="n">
        <v>352</v>
      </c>
      <c r="E45" s="2" t="n">
        <v>2048</v>
      </c>
      <c r="F45" s="2" t="n">
        <v>0</v>
      </c>
      <c r="G45" s="8" t="n">
        <f aca="false">D45/E45</f>
        <v>0.171875</v>
      </c>
      <c r="H45" s="8" t="n">
        <f aca="false">F45/100</f>
        <v>0</v>
      </c>
    </row>
    <row r="46" customFormat="false" ht="15" hidden="false" customHeight="false" outlineLevel="0" collapsed="false">
      <c r="A46" s="2" t="s">
        <v>32</v>
      </c>
      <c r="B46" s="2" t="n">
        <v>2</v>
      </c>
      <c r="C46" s="2" t="s">
        <v>96</v>
      </c>
      <c r="D46" s="2" t="n">
        <v>256</v>
      </c>
      <c r="E46" s="2" t="n">
        <v>1024</v>
      </c>
      <c r="F46" s="2" t="n">
        <v>0</v>
      </c>
      <c r="G46" s="8" t="n">
        <f aca="false">D46/E46</f>
        <v>0.25</v>
      </c>
      <c r="H46" s="8" t="n">
        <f aca="false">F46/100</f>
        <v>0</v>
      </c>
    </row>
    <row r="47" customFormat="false" ht="15" hidden="false" customHeight="false" outlineLevel="0" collapsed="false">
      <c r="A47" s="2" t="s">
        <v>32</v>
      </c>
      <c r="B47" s="2" t="n">
        <v>2</v>
      </c>
      <c r="C47" s="2" t="s">
        <v>93</v>
      </c>
      <c r="D47" s="2" t="n">
        <v>208</v>
      </c>
      <c r="E47" s="2" t="n">
        <v>1024</v>
      </c>
      <c r="F47" s="2" t="n">
        <v>99</v>
      </c>
      <c r="G47" s="8" t="n">
        <f aca="false">D47/E47</f>
        <v>0.203125</v>
      </c>
      <c r="H47" s="8" t="n">
        <f aca="false">F47/100</f>
        <v>0.99</v>
      </c>
    </row>
    <row r="48" customFormat="false" ht="15" hidden="false" customHeight="false" outlineLevel="0" collapsed="false">
      <c r="A48" s="2" t="s">
        <v>32</v>
      </c>
      <c r="B48" s="2" t="n">
        <v>2</v>
      </c>
      <c r="C48" s="2" t="s">
        <v>94</v>
      </c>
      <c r="D48" s="2" t="n">
        <v>1024</v>
      </c>
      <c r="E48" s="2" t="n">
        <v>4096</v>
      </c>
      <c r="F48" s="2" t="n">
        <v>0</v>
      </c>
      <c r="G48" s="8" t="n">
        <f aca="false">D48/E48</f>
        <v>0.25</v>
      </c>
      <c r="H48" s="8" t="n">
        <f aca="false">F48/100</f>
        <v>0</v>
      </c>
    </row>
    <row r="49" customFormat="false" ht="15" hidden="false" customHeight="false" outlineLevel="0" collapsed="false">
      <c r="A49" s="2" t="s">
        <v>32</v>
      </c>
      <c r="B49" s="2" t="n">
        <v>2</v>
      </c>
      <c r="C49" s="2" t="s">
        <v>97</v>
      </c>
      <c r="D49" s="2" t="n">
        <v>352</v>
      </c>
      <c r="E49" s="2" t="n">
        <v>2048</v>
      </c>
      <c r="F49" s="2" t="n">
        <v>0</v>
      </c>
      <c r="G49" s="8" t="n">
        <f aca="false">D49/E49</f>
        <v>0.171875</v>
      </c>
      <c r="H49" s="8" t="n">
        <f aca="false">F49/100</f>
        <v>0</v>
      </c>
    </row>
    <row r="50" customFormat="false" ht="15" hidden="false" customHeight="false" outlineLevel="0" collapsed="false">
      <c r="A50" s="2" t="s">
        <v>32</v>
      </c>
      <c r="B50" s="2" t="n">
        <v>3</v>
      </c>
      <c r="C50" s="2" t="s">
        <v>96</v>
      </c>
      <c r="D50" s="2" t="n">
        <v>256</v>
      </c>
      <c r="E50" s="2" t="n">
        <v>1024</v>
      </c>
      <c r="F50" s="2" t="n">
        <v>0</v>
      </c>
      <c r="G50" s="8" t="n">
        <f aca="false">D50/E50</f>
        <v>0.25</v>
      </c>
      <c r="H50" s="8" t="n">
        <f aca="false">F50/100</f>
        <v>0</v>
      </c>
    </row>
    <row r="51" customFormat="false" ht="15" hidden="false" customHeight="false" outlineLevel="0" collapsed="false">
      <c r="A51" s="2" t="s">
        <v>32</v>
      </c>
      <c r="B51" s="2" t="n">
        <v>3</v>
      </c>
      <c r="C51" s="2" t="s">
        <v>93</v>
      </c>
      <c r="D51" s="2" t="n">
        <v>208</v>
      </c>
      <c r="E51" s="2" t="n">
        <v>1024</v>
      </c>
      <c r="F51" s="2" t="n">
        <v>99</v>
      </c>
      <c r="G51" s="8" t="n">
        <f aca="false">D51/E51</f>
        <v>0.203125</v>
      </c>
      <c r="H51" s="8" t="n">
        <f aca="false">F51/100</f>
        <v>0.99</v>
      </c>
    </row>
    <row r="52" customFormat="false" ht="15" hidden="false" customHeight="false" outlineLevel="0" collapsed="false">
      <c r="A52" s="2" t="s">
        <v>32</v>
      </c>
      <c r="B52" s="2" t="n">
        <v>3</v>
      </c>
      <c r="C52" s="2" t="s">
        <v>94</v>
      </c>
      <c r="D52" s="2" t="n">
        <v>1024</v>
      </c>
      <c r="E52" s="2" t="n">
        <v>4096</v>
      </c>
      <c r="F52" s="2" t="n">
        <v>0</v>
      </c>
      <c r="G52" s="8" t="n">
        <f aca="false">D52/E52</f>
        <v>0.25</v>
      </c>
      <c r="H52" s="8" t="n">
        <f aca="false">F52/100</f>
        <v>0</v>
      </c>
    </row>
    <row r="53" customFormat="false" ht="15" hidden="false" customHeight="false" outlineLevel="0" collapsed="false">
      <c r="A53" s="2" t="s">
        <v>32</v>
      </c>
      <c r="B53" s="2" t="n">
        <v>3</v>
      </c>
      <c r="C53" s="2" t="s">
        <v>97</v>
      </c>
      <c r="D53" s="2" t="n">
        <v>352</v>
      </c>
      <c r="E53" s="2" t="n">
        <v>2048</v>
      </c>
      <c r="F53" s="2" t="n">
        <v>0</v>
      </c>
      <c r="G53" s="8" t="n">
        <f aca="false">D53/E53</f>
        <v>0.171875</v>
      </c>
      <c r="H53" s="8" t="n">
        <f aca="false">F53/100</f>
        <v>0</v>
      </c>
    </row>
    <row r="54" customFormat="false" ht="15" hidden="false" customHeight="false" outlineLevel="0" collapsed="false">
      <c r="A54" s="2" t="s">
        <v>33</v>
      </c>
      <c r="B54" s="2" t="n">
        <v>1</v>
      </c>
      <c r="C54" s="2" t="s">
        <v>99</v>
      </c>
      <c r="D54" s="2" t="n">
        <v>304</v>
      </c>
      <c r="E54" s="2" t="n">
        <v>1024</v>
      </c>
      <c r="F54" s="2" t="n">
        <v>0</v>
      </c>
      <c r="G54" s="8" t="n">
        <f aca="false">D54/E54</f>
        <v>0.296875</v>
      </c>
      <c r="H54" s="8" t="n">
        <f aca="false">F54/100</f>
        <v>0</v>
      </c>
    </row>
    <row r="55" customFormat="false" ht="15" hidden="false" customHeight="false" outlineLevel="0" collapsed="false">
      <c r="A55" s="2" t="s">
        <v>33</v>
      </c>
      <c r="B55" s="2" t="n">
        <v>1</v>
      </c>
      <c r="C55" s="2" t="s">
        <v>93</v>
      </c>
      <c r="D55" s="2" t="n">
        <v>208</v>
      </c>
      <c r="E55" s="2" t="n">
        <v>1024</v>
      </c>
      <c r="F55" s="2" t="n">
        <v>99</v>
      </c>
      <c r="G55" s="8" t="n">
        <f aca="false">D55/E55</f>
        <v>0.203125</v>
      </c>
      <c r="H55" s="8" t="n">
        <f aca="false">F55/100</f>
        <v>0.99</v>
      </c>
    </row>
    <row r="56" customFormat="false" ht="15" hidden="false" customHeight="false" outlineLevel="0" collapsed="false">
      <c r="A56" s="2" t="s">
        <v>33</v>
      </c>
      <c r="B56" s="2" t="n">
        <v>1</v>
      </c>
      <c r="C56" s="2" t="s">
        <v>94</v>
      </c>
      <c r="D56" s="2" t="n">
        <v>1024</v>
      </c>
      <c r="E56" s="2" t="n">
        <v>4096</v>
      </c>
      <c r="F56" s="2" t="n">
        <v>0</v>
      </c>
      <c r="G56" s="8" t="n">
        <f aca="false">D56/E56</f>
        <v>0.25</v>
      </c>
      <c r="H56" s="8" t="n">
        <f aca="false">F56/100</f>
        <v>0</v>
      </c>
    </row>
    <row r="57" customFormat="false" ht="15" hidden="false" customHeight="false" outlineLevel="0" collapsed="false">
      <c r="A57" s="2" t="s">
        <v>33</v>
      </c>
      <c r="B57" s="2" t="n">
        <v>1</v>
      </c>
      <c r="C57" s="2" t="s">
        <v>97</v>
      </c>
      <c r="D57" s="2" t="n">
        <v>480</v>
      </c>
      <c r="E57" s="2" t="n">
        <v>2048</v>
      </c>
      <c r="F57" s="2" t="n">
        <v>0</v>
      </c>
      <c r="G57" s="8" t="n">
        <f aca="false">D57/E57</f>
        <v>0.234375</v>
      </c>
      <c r="H57" s="8" t="n">
        <f aca="false">F57/100</f>
        <v>0</v>
      </c>
    </row>
    <row r="58" customFormat="false" ht="15" hidden="false" customHeight="false" outlineLevel="0" collapsed="false">
      <c r="A58" s="2" t="s">
        <v>35</v>
      </c>
      <c r="B58" s="2" t="n">
        <v>1</v>
      </c>
      <c r="C58" s="2" t="s">
        <v>99</v>
      </c>
      <c r="D58" s="2" t="n">
        <v>304</v>
      </c>
      <c r="E58" s="2" t="n">
        <v>1024</v>
      </c>
      <c r="F58" s="2" t="n">
        <v>0</v>
      </c>
      <c r="G58" s="8" t="n">
        <f aca="false">D58/E58</f>
        <v>0.296875</v>
      </c>
      <c r="H58" s="8" t="n">
        <f aca="false">F58/100</f>
        <v>0</v>
      </c>
    </row>
    <row r="59" customFormat="false" ht="15" hidden="false" customHeight="false" outlineLevel="0" collapsed="false">
      <c r="A59" s="2" t="s">
        <v>35</v>
      </c>
      <c r="B59" s="2" t="n">
        <v>1</v>
      </c>
      <c r="C59" s="2" t="s">
        <v>93</v>
      </c>
      <c r="D59" s="2" t="n">
        <v>208</v>
      </c>
      <c r="E59" s="2" t="n">
        <v>1024</v>
      </c>
      <c r="F59" s="2" t="n">
        <v>99</v>
      </c>
      <c r="G59" s="8" t="n">
        <f aca="false">D59/E59</f>
        <v>0.203125</v>
      </c>
      <c r="H59" s="8" t="n">
        <f aca="false">F59/100</f>
        <v>0.99</v>
      </c>
    </row>
    <row r="60" customFormat="false" ht="15" hidden="false" customHeight="false" outlineLevel="0" collapsed="false">
      <c r="A60" s="2" t="s">
        <v>35</v>
      </c>
      <c r="B60" s="2" t="n">
        <v>1</v>
      </c>
      <c r="C60" s="2" t="s">
        <v>94</v>
      </c>
      <c r="D60" s="2" t="n">
        <v>1024</v>
      </c>
      <c r="E60" s="2" t="n">
        <v>4096</v>
      </c>
      <c r="F60" s="2" t="n">
        <v>0</v>
      </c>
      <c r="G60" s="8" t="n">
        <f aca="false">D60/E60</f>
        <v>0.25</v>
      </c>
      <c r="H60" s="8" t="n">
        <f aca="false">F60/100</f>
        <v>0</v>
      </c>
    </row>
    <row r="61" customFormat="false" ht="15" hidden="false" customHeight="false" outlineLevel="0" collapsed="false">
      <c r="A61" s="2" t="s">
        <v>35</v>
      </c>
      <c r="B61" s="2" t="n">
        <v>1</v>
      </c>
      <c r="C61" s="2" t="s">
        <v>97</v>
      </c>
      <c r="D61" s="2" t="n">
        <v>480</v>
      </c>
      <c r="E61" s="2" t="n">
        <v>2048</v>
      </c>
      <c r="F61" s="2" t="n">
        <v>0</v>
      </c>
      <c r="G61" s="8" t="n">
        <f aca="false">D61/E61</f>
        <v>0.234375</v>
      </c>
      <c r="H61" s="8" t="n">
        <f aca="false">F61/100</f>
        <v>0</v>
      </c>
    </row>
    <row r="62" customFormat="false" ht="15" hidden="false" customHeight="false" outlineLevel="0" collapsed="false">
      <c r="A62" s="2" t="s">
        <v>35</v>
      </c>
      <c r="B62" s="2" t="n">
        <v>2</v>
      </c>
      <c r="C62" s="2" t="s">
        <v>99</v>
      </c>
      <c r="D62" s="2" t="n">
        <v>304</v>
      </c>
      <c r="E62" s="2" t="n">
        <v>1024</v>
      </c>
      <c r="F62" s="2" t="n">
        <v>0</v>
      </c>
      <c r="G62" s="8" t="n">
        <f aca="false">D62/E62</f>
        <v>0.296875</v>
      </c>
      <c r="H62" s="8" t="n">
        <f aca="false">F62/100</f>
        <v>0</v>
      </c>
    </row>
    <row r="63" customFormat="false" ht="15" hidden="false" customHeight="false" outlineLevel="0" collapsed="false">
      <c r="A63" s="2" t="s">
        <v>35</v>
      </c>
      <c r="B63" s="2" t="n">
        <v>2</v>
      </c>
      <c r="C63" s="2" t="s">
        <v>93</v>
      </c>
      <c r="D63" s="2" t="n">
        <v>208</v>
      </c>
      <c r="E63" s="2" t="n">
        <v>1024</v>
      </c>
      <c r="F63" s="2" t="n">
        <v>99</v>
      </c>
      <c r="G63" s="8" t="n">
        <f aca="false">D63/E63</f>
        <v>0.203125</v>
      </c>
      <c r="H63" s="8" t="n">
        <f aca="false">F63/100</f>
        <v>0.99</v>
      </c>
    </row>
    <row r="64" customFormat="false" ht="15" hidden="false" customHeight="false" outlineLevel="0" collapsed="false">
      <c r="A64" s="2" t="s">
        <v>35</v>
      </c>
      <c r="B64" s="2" t="n">
        <v>2</v>
      </c>
      <c r="C64" s="2" t="s">
        <v>94</v>
      </c>
      <c r="D64" s="2" t="n">
        <v>1024</v>
      </c>
      <c r="E64" s="2" t="n">
        <v>4096</v>
      </c>
      <c r="F64" s="2" t="n">
        <v>0</v>
      </c>
      <c r="G64" s="8" t="n">
        <f aca="false">D64/E64</f>
        <v>0.25</v>
      </c>
      <c r="H64" s="8" t="n">
        <f aca="false">F64/100</f>
        <v>0</v>
      </c>
    </row>
    <row r="65" customFormat="false" ht="15" hidden="false" customHeight="false" outlineLevel="0" collapsed="false">
      <c r="A65" s="2" t="s">
        <v>35</v>
      </c>
      <c r="B65" s="2" t="n">
        <v>2</v>
      </c>
      <c r="C65" s="2" t="s">
        <v>97</v>
      </c>
      <c r="D65" s="2" t="n">
        <v>480</v>
      </c>
      <c r="E65" s="2" t="n">
        <v>2048</v>
      </c>
      <c r="F65" s="2" t="n">
        <v>0</v>
      </c>
      <c r="G65" s="8" t="n">
        <f aca="false">D65/E65</f>
        <v>0.234375</v>
      </c>
      <c r="H65" s="8" t="n">
        <f aca="false">F65/100</f>
        <v>0</v>
      </c>
    </row>
    <row r="66" customFormat="false" ht="15" hidden="false" customHeight="false" outlineLevel="0" collapsed="false">
      <c r="A66" s="2" t="s">
        <v>35</v>
      </c>
      <c r="B66" s="2" t="n">
        <v>3</v>
      </c>
      <c r="C66" s="2" t="s">
        <v>99</v>
      </c>
      <c r="D66" s="2" t="n">
        <v>304</v>
      </c>
      <c r="E66" s="2" t="n">
        <v>1024</v>
      </c>
      <c r="F66" s="2" t="n">
        <v>0</v>
      </c>
      <c r="G66" s="8" t="n">
        <f aca="false">D66/E66</f>
        <v>0.296875</v>
      </c>
      <c r="H66" s="8" t="n">
        <f aca="false">F66/100</f>
        <v>0</v>
      </c>
    </row>
    <row r="67" customFormat="false" ht="15" hidden="false" customHeight="false" outlineLevel="0" collapsed="false">
      <c r="A67" s="2" t="s">
        <v>35</v>
      </c>
      <c r="B67" s="2" t="n">
        <v>3</v>
      </c>
      <c r="C67" s="2" t="s">
        <v>93</v>
      </c>
      <c r="D67" s="2" t="n">
        <v>208</v>
      </c>
      <c r="E67" s="2" t="n">
        <v>1024</v>
      </c>
      <c r="F67" s="2" t="n">
        <v>99</v>
      </c>
      <c r="G67" s="8" t="n">
        <f aca="false">D67/E67</f>
        <v>0.203125</v>
      </c>
      <c r="H67" s="8" t="n">
        <f aca="false">F67/100</f>
        <v>0.99</v>
      </c>
    </row>
    <row r="68" customFormat="false" ht="15" hidden="false" customHeight="false" outlineLevel="0" collapsed="false">
      <c r="A68" s="2" t="s">
        <v>35</v>
      </c>
      <c r="B68" s="2" t="n">
        <v>3</v>
      </c>
      <c r="C68" s="2" t="s">
        <v>94</v>
      </c>
      <c r="D68" s="2" t="n">
        <v>1024</v>
      </c>
      <c r="E68" s="2" t="n">
        <v>4096</v>
      </c>
      <c r="F68" s="2" t="n">
        <v>0</v>
      </c>
      <c r="G68" s="8" t="n">
        <f aca="false">D68/E68</f>
        <v>0.25</v>
      </c>
      <c r="H68" s="8" t="n">
        <f aca="false">F68/100</f>
        <v>0</v>
      </c>
    </row>
    <row r="69" customFormat="false" ht="15" hidden="false" customHeight="false" outlineLevel="0" collapsed="false">
      <c r="A69" s="2" t="s">
        <v>35</v>
      </c>
      <c r="B69" s="2" t="n">
        <v>3</v>
      </c>
      <c r="C69" s="2" t="s">
        <v>97</v>
      </c>
      <c r="D69" s="2" t="n">
        <v>480</v>
      </c>
      <c r="E69" s="2" t="n">
        <v>2048</v>
      </c>
      <c r="F69" s="2" t="n">
        <v>0</v>
      </c>
      <c r="G69" s="8" t="n">
        <f aca="false">D69/E69</f>
        <v>0.234375</v>
      </c>
      <c r="H69" s="8" t="n">
        <f aca="false">F69/100</f>
        <v>0</v>
      </c>
    </row>
    <row r="70" customFormat="false" ht="15" hidden="false" customHeight="false" outlineLevel="0" collapsed="false">
      <c r="A70" s="2" t="s">
        <v>36</v>
      </c>
      <c r="B70" s="2" t="n">
        <v>1</v>
      </c>
      <c r="C70" s="2" t="s">
        <v>96</v>
      </c>
      <c r="D70" s="2" t="n">
        <v>256</v>
      </c>
      <c r="E70" s="2" t="n">
        <v>1024</v>
      </c>
      <c r="F70" s="2" t="n">
        <v>0</v>
      </c>
      <c r="G70" s="8" t="n">
        <f aca="false">D70/E70</f>
        <v>0.25</v>
      </c>
      <c r="H70" s="8" t="n">
        <f aca="false">F70/100</f>
        <v>0</v>
      </c>
    </row>
    <row r="71" customFormat="false" ht="15" hidden="false" customHeight="false" outlineLevel="0" collapsed="false">
      <c r="A71" s="2" t="s">
        <v>36</v>
      </c>
      <c r="B71" s="2" t="n">
        <v>1</v>
      </c>
      <c r="C71" s="2" t="s">
        <v>93</v>
      </c>
      <c r="D71" s="2" t="n">
        <v>208</v>
      </c>
      <c r="E71" s="2" t="n">
        <v>1024</v>
      </c>
      <c r="F71" s="2" t="n">
        <v>99</v>
      </c>
      <c r="G71" s="8" t="n">
        <f aca="false">D71/E71</f>
        <v>0.203125</v>
      </c>
      <c r="H71" s="8" t="n">
        <f aca="false">F71/100</f>
        <v>0.99</v>
      </c>
    </row>
    <row r="72" customFormat="false" ht="15" hidden="false" customHeight="false" outlineLevel="0" collapsed="false">
      <c r="A72" s="2" t="s">
        <v>36</v>
      </c>
      <c r="B72" s="2" t="n">
        <v>1</v>
      </c>
      <c r="C72" s="2" t="s">
        <v>94</v>
      </c>
      <c r="D72" s="2" t="n">
        <v>1024</v>
      </c>
      <c r="E72" s="2" t="n">
        <v>4096</v>
      </c>
      <c r="F72" s="2" t="n">
        <v>0</v>
      </c>
      <c r="G72" s="8" t="n">
        <f aca="false">D72/E72</f>
        <v>0.25</v>
      </c>
      <c r="H72" s="8" t="n">
        <f aca="false">F72/100</f>
        <v>0</v>
      </c>
    </row>
    <row r="73" customFormat="false" ht="15" hidden="false" customHeight="false" outlineLevel="0" collapsed="false">
      <c r="A73" s="2" t="s">
        <v>36</v>
      </c>
      <c r="B73" s="2" t="n">
        <v>1</v>
      </c>
      <c r="C73" s="2" t="s">
        <v>97</v>
      </c>
      <c r="D73" s="2" t="n">
        <v>352</v>
      </c>
      <c r="E73" s="2" t="n">
        <v>2048</v>
      </c>
      <c r="F73" s="2" t="n">
        <v>0</v>
      </c>
      <c r="G73" s="8" t="n">
        <f aca="false">D73/E73</f>
        <v>0.171875</v>
      </c>
      <c r="H73" s="8" t="n">
        <f aca="false">F73/100</f>
        <v>0</v>
      </c>
    </row>
    <row r="74" customFormat="false" ht="15" hidden="false" customHeight="false" outlineLevel="0" collapsed="false">
      <c r="A74" s="2" t="s">
        <v>36</v>
      </c>
      <c r="B74" s="2" t="n">
        <v>2</v>
      </c>
      <c r="C74" s="2" t="s">
        <v>96</v>
      </c>
      <c r="D74" s="2" t="n">
        <v>256</v>
      </c>
      <c r="E74" s="2" t="n">
        <v>1024</v>
      </c>
      <c r="F74" s="2" t="n">
        <v>0</v>
      </c>
      <c r="G74" s="8" t="n">
        <f aca="false">D74/E74</f>
        <v>0.25</v>
      </c>
      <c r="H74" s="8" t="n">
        <f aca="false">F74/100</f>
        <v>0</v>
      </c>
    </row>
    <row r="75" customFormat="false" ht="15" hidden="false" customHeight="false" outlineLevel="0" collapsed="false">
      <c r="A75" s="2" t="s">
        <v>36</v>
      </c>
      <c r="B75" s="2" t="n">
        <v>2</v>
      </c>
      <c r="C75" s="2" t="s">
        <v>93</v>
      </c>
      <c r="D75" s="2" t="n">
        <v>208</v>
      </c>
      <c r="E75" s="2" t="n">
        <v>1024</v>
      </c>
      <c r="F75" s="2" t="n">
        <v>99</v>
      </c>
      <c r="G75" s="8" t="n">
        <f aca="false">D75/E75</f>
        <v>0.203125</v>
      </c>
      <c r="H75" s="8" t="n">
        <f aca="false">F75/100</f>
        <v>0.99</v>
      </c>
    </row>
    <row r="76" customFormat="false" ht="15" hidden="false" customHeight="false" outlineLevel="0" collapsed="false">
      <c r="A76" s="2" t="s">
        <v>36</v>
      </c>
      <c r="B76" s="2" t="n">
        <v>2</v>
      </c>
      <c r="C76" s="2" t="s">
        <v>94</v>
      </c>
      <c r="D76" s="2" t="n">
        <v>1024</v>
      </c>
      <c r="E76" s="2" t="n">
        <v>4096</v>
      </c>
      <c r="F76" s="2" t="n">
        <v>0</v>
      </c>
      <c r="G76" s="8" t="n">
        <f aca="false">D76/E76</f>
        <v>0.25</v>
      </c>
      <c r="H76" s="8" t="n">
        <f aca="false">F76/100</f>
        <v>0</v>
      </c>
    </row>
    <row r="77" customFormat="false" ht="15" hidden="false" customHeight="false" outlineLevel="0" collapsed="false">
      <c r="A77" s="2" t="s">
        <v>36</v>
      </c>
      <c r="B77" s="2" t="n">
        <v>2</v>
      </c>
      <c r="C77" s="2" t="s">
        <v>97</v>
      </c>
      <c r="D77" s="2" t="n">
        <v>352</v>
      </c>
      <c r="E77" s="2" t="n">
        <v>2048</v>
      </c>
      <c r="F77" s="2" t="n">
        <v>0</v>
      </c>
      <c r="G77" s="8" t="n">
        <f aca="false">D77/E77</f>
        <v>0.171875</v>
      </c>
      <c r="H77" s="8" t="n">
        <f aca="false">F77/100</f>
        <v>0</v>
      </c>
    </row>
    <row r="78" customFormat="false" ht="15" hidden="false" customHeight="false" outlineLevel="0" collapsed="false">
      <c r="A78" s="2" t="s">
        <v>36</v>
      </c>
      <c r="B78" s="2" t="n">
        <v>3</v>
      </c>
      <c r="C78" s="2" t="s">
        <v>96</v>
      </c>
      <c r="D78" s="2" t="n">
        <v>256</v>
      </c>
      <c r="E78" s="2" t="n">
        <v>1024</v>
      </c>
      <c r="F78" s="2" t="n">
        <v>0</v>
      </c>
      <c r="G78" s="8" t="n">
        <f aca="false">D78/E78</f>
        <v>0.25</v>
      </c>
      <c r="H78" s="8" t="n">
        <f aca="false">F78/100</f>
        <v>0</v>
      </c>
    </row>
    <row r="79" customFormat="false" ht="15" hidden="false" customHeight="false" outlineLevel="0" collapsed="false">
      <c r="A79" s="2" t="s">
        <v>36</v>
      </c>
      <c r="B79" s="2" t="n">
        <v>3</v>
      </c>
      <c r="C79" s="2" t="s">
        <v>93</v>
      </c>
      <c r="D79" s="2" t="n">
        <v>208</v>
      </c>
      <c r="E79" s="2" t="n">
        <v>1024</v>
      </c>
      <c r="F79" s="2" t="n">
        <v>99</v>
      </c>
      <c r="G79" s="8" t="n">
        <f aca="false">D79/E79</f>
        <v>0.203125</v>
      </c>
      <c r="H79" s="8" t="n">
        <f aca="false">F79/100</f>
        <v>0.99</v>
      </c>
    </row>
    <row r="80" customFormat="false" ht="15" hidden="false" customHeight="false" outlineLevel="0" collapsed="false">
      <c r="A80" s="2" t="s">
        <v>36</v>
      </c>
      <c r="B80" s="2" t="n">
        <v>3</v>
      </c>
      <c r="C80" s="2" t="s">
        <v>94</v>
      </c>
      <c r="D80" s="2" t="n">
        <v>1024</v>
      </c>
      <c r="E80" s="2" t="n">
        <v>4096</v>
      </c>
      <c r="F80" s="2" t="n">
        <v>0</v>
      </c>
      <c r="G80" s="8" t="n">
        <f aca="false">D80/E80</f>
        <v>0.25</v>
      </c>
      <c r="H80" s="8" t="n">
        <f aca="false">F80/100</f>
        <v>0</v>
      </c>
    </row>
    <row r="81" customFormat="false" ht="15" hidden="false" customHeight="false" outlineLevel="0" collapsed="false">
      <c r="A81" s="2" t="s">
        <v>36</v>
      </c>
      <c r="B81" s="2" t="n">
        <v>3</v>
      </c>
      <c r="C81" s="2" t="s">
        <v>97</v>
      </c>
      <c r="D81" s="2" t="n">
        <v>352</v>
      </c>
      <c r="E81" s="2" t="n">
        <v>2048</v>
      </c>
      <c r="F81" s="2" t="n">
        <v>0</v>
      </c>
      <c r="G81" s="8" t="n">
        <f aca="false">D81/E81</f>
        <v>0.171875</v>
      </c>
      <c r="H81" s="8" t="n">
        <f aca="false">F81/100</f>
        <v>0</v>
      </c>
    </row>
    <row r="82" customFormat="false" ht="15" hidden="false" customHeight="false" outlineLevel="0" collapsed="false">
      <c r="A82" s="2" t="s">
        <v>37</v>
      </c>
      <c r="B82" s="2" t="n">
        <v>1</v>
      </c>
      <c r="C82" s="2" t="s">
        <v>96</v>
      </c>
      <c r="D82" s="2" t="n">
        <v>256</v>
      </c>
      <c r="E82" s="2" t="n">
        <v>1024</v>
      </c>
      <c r="F82" s="2" t="n">
        <v>0</v>
      </c>
      <c r="G82" s="8" t="n">
        <f aca="false">D82/E82</f>
        <v>0.25</v>
      </c>
      <c r="H82" s="8" t="n">
        <f aca="false">F82/100</f>
        <v>0</v>
      </c>
    </row>
    <row r="83" customFormat="false" ht="15" hidden="false" customHeight="false" outlineLevel="0" collapsed="false">
      <c r="A83" s="2" t="s">
        <v>37</v>
      </c>
      <c r="B83" s="2" t="n">
        <v>1</v>
      </c>
      <c r="C83" s="2" t="s">
        <v>93</v>
      </c>
      <c r="D83" s="2" t="n">
        <v>208</v>
      </c>
      <c r="E83" s="2" t="n">
        <v>1024</v>
      </c>
      <c r="F83" s="2" t="n">
        <v>99</v>
      </c>
      <c r="G83" s="8" t="n">
        <f aca="false">D83/E83</f>
        <v>0.203125</v>
      </c>
      <c r="H83" s="8" t="n">
        <f aca="false">F83/100</f>
        <v>0.99</v>
      </c>
    </row>
    <row r="84" customFormat="false" ht="15" hidden="false" customHeight="false" outlineLevel="0" collapsed="false">
      <c r="A84" s="2" t="s">
        <v>37</v>
      </c>
      <c r="B84" s="2" t="n">
        <v>1</v>
      </c>
      <c r="C84" s="2" t="s">
        <v>94</v>
      </c>
      <c r="D84" s="2" t="n">
        <v>1024</v>
      </c>
      <c r="E84" s="2" t="n">
        <v>4096</v>
      </c>
      <c r="F84" s="2" t="n">
        <v>0</v>
      </c>
      <c r="G84" s="8" t="n">
        <f aca="false">D84/E84</f>
        <v>0.25</v>
      </c>
      <c r="H84" s="8" t="n">
        <f aca="false">F84/100</f>
        <v>0</v>
      </c>
    </row>
    <row r="85" customFormat="false" ht="15" hidden="false" customHeight="false" outlineLevel="0" collapsed="false">
      <c r="A85" s="2" t="s">
        <v>37</v>
      </c>
      <c r="B85" s="2" t="n">
        <v>1</v>
      </c>
      <c r="C85" s="2" t="s">
        <v>97</v>
      </c>
      <c r="D85" s="2" t="n">
        <v>352</v>
      </c>
      <c r="E85" s="2" t="n">
        <v>2048</v>
      </c>
      <c r="F85" s="2" t="n">
        <v>0</v>
      </c>
      <c r="G85" s="8" t="n">
        <f aca="false">D85/E85</f>
        <v>0.171875</v>
      </c>
      <c r="H85" s="8" t="n">
        <f aca="false">F85/100</f>
        <v>0</v>
      </c>
    </row>
    <row r="86" customFormat="false" ht="15" hidden="false" customHeight="false" outlineLevel="0" collapsed="false">
      <c r="A86" s="2" t="s">
        <v>37</v>
      </c>
      <c r="B86" s="2" t="n">
        <v>2</v>
      </c>
      <c r="C86" s="2" t="s">
        <v>96</v>
      </c>
      <c r="D86" s="2" t="n">
        <v>256</v>
      </c>
      <c r="E86" s="2" t="n">
        <v>1024</v>
      </c>
      <c r="F86" s="2" t="n">
        <v>0</v>
      </c>
      <c r="G86" s="8" t="n">
        <f aca="false">D86/E86</f>
        <v>0.25</v>
      </c>
      <c r="H86" s="8" t="n">
        <f aca="false">F86/100</f>
        <v>0</v>
      </c>
    </row>
    <row r="87" customFormat="false" ht="15" hidden="false" customHeight="false" outlineLevel="0" collapsed="false">
      <c r="A87" s="2" t="s">
        <v>37</v>
      </c>
      <c r="B87" s="2" t="n">
        <v>2</v>
      </c>
      <c r="C87" s="2" t="s">
        <v>93</v>
      </c>
      <c r="D87" s="2" t="n">
        <v>208</v>
      </c>
      <c r="E87" s="2" t="n">
        <v>1024</v>
      </c>
      <c r="F87" s="2" t="n">
        <v>99</v>
      </c>
      <c r="G87" s="8" t="n">
        <f aca="false">D87/E87</f>
        <v>0.203125</v>
      </c>
      <c r="H87" s="8" t="n">
        <f aca="false">F87/100</f>
        <v>0.99</v>
      </c>
    </row>
    <row r="88" customFormat="false" ht="15" hidden="false" customHeight="false" outlineLevel="0" collapsed="false">
      <c r="A88" s="2" t="s">
        <v>37</v>
      </c>
      <c r="B88" s="2" t="n">
        <v>2</v>
      </c>
      <c r="C88" s="2" t="s">
        <v>94</v>
      </c>
      <c r="D88" s="2" t="n">
        <v>1024</v>
      </c>
      <c r="E88" s="2" t="n">
        <v>4096</v>
      </c>
      <c r="F88" s="2" t="n">
        <v>0</v>
      </c>
      <c r="G88" s="8" t="n">
        <f aca="false">D88/E88</f>
        <v>0.25</v>
      </c>
      <c r="H88" s="8" t="n">
        <f aca="false">F88/100</f>
        <v>0</v>
      </c>
    </row>
    <row r="89" customFormat="false" ht="15" hidden="false" customHeight="false" outlineLevel="0" collapsed="false">
      <c r="A89" s="2" t="s">
        <v>37</v>
      </c>
      <c r="B89" s="2" t="n">
        <v>2</v>
      </c>
      <c r="C89" s="2" t="s">
        <v>97</v>
      </c>
      <c r="D89" s="2" t="n">
        <v>352</v>
      </c>
      <c r="E89" s="2" t="n">
        <v>2048</v>
      </c>
      <c r="F89" s="2" t="n">
        <v>0</v>
      </c>
      <c r="G89" s="8" t="n">
        <f aca="false">D89/E89</f>
        <v>0.171875</v>
      </c>
      <c r="H89" s="8" t="n">
        <f aca="false">F89/100</f>
        <v>0</v>
      </c>
    </row>
    <row r="90" customFormat="false" ht="15" hidden="false" customHeight="false" outlineLevel="0" collapsed="false">
      <c r="A90" s="2" t="s">
        <v>37</v>
      </c>
      <c r="B90" s="2" t="n">
        <v>3</v>
      </c>
      <c r="C90" s="2" t="s">
        <v>96</v>
      </c>
      <c r="D90" s="2" t="n">
        <v>256</v>
      </c>
      <c r="E90" s="2" t="n">
        <v>1024</v>
      </c>
      <c r="F90" s="2" t="n">
        <v>0</v>
      </c>
      <c r="G90" s="8" t="n">
        <f aca="false">D90/E90</f>
        <v>0.25</v>
      </c>
      <c r="H90" s="8" t="n">
        <f aca="false">F90/100</f>
        <v>0</v>
      </c>
    </row>
    <row r="91" customFormat="false" ht="15" hidden="false" customHeight="false" outlineLevel="0" collapsed="false">
      <c r="A91" s="2" t="s">
        <v>37</v>
      </c>
      <c r="B91" s="2" t="n">
        <v>3</v>
      </c>
      <c r="C91" s="2" t="s">
        <v>93</v>
      </c>
      <c r="D91" s="2" t="n">
        <v>208</v>
      </c>
      <c r="E91" s="2" t="n">
        <v>1024</v>
      </c>
      <c r="F91" s="2" t="n">
        <v>99</v>
      </c>
      <c r="G91" s="8" t="n">
        <f aca="false">D91/E91</f>
        <v>0.203125</v>
      </c>
      <c r="H91" s="8" t="n">
        <f aca="false">F91/100</f>
        <v>0.99</v>
      </c>
    </row>
    <row r="92" customFormat="false" ht="15" hidden="false" customHeight="false" outlineLevel="0" collapsed="false">
      <c r="A92" s="2" t="s">
        <v>37</v>
      </c>
      <c r="B92" s="2" t="n">
        <v>3</v>
      </c>
      <c r="C92" s="2" t="s">
        <v>94</v>
      </c>
      <c r="D92" s="2" t="n">
        <v>1024</v>
      </c>
      <c r="E92" s="2" t="n">
        <v>4096</v>
      </c>
      <c r="F92" s="2" t="n">
        <v>0</v>
      </c>
      <c r="G92" s="8" t="n">
        <f aca="false">D92/E92</f>
        <v>0.25</v>
      </c>
      <c r="H92" s="8" t="n">
        <f aca="false">F92/100</f>
        <v>0</v>
      </c>
    </row>
    <row r="93" customFormat="false" ht="15" hidden="false" customHeight="false" outlineLevel="0" collapsed="false">
      <c r="A93" s="2" t="s">
        <v>37</v>
      </c>
      <c r="B93" s="2" t="n">
        <v>3</v>
      </c>
      <c r="C93" s="2" t="s">
        <v>97</v>
      </c>
      <c r="D93" s="2" t="n">
        <v>352</v>
      </c>
      <c r="E93" s="2" t="n">
        <v>2048</v>
      </c>
      <c r="F93" s="2" t="n">
        <v>0</v>
      </c>
      <c r="G93" s="8" t="n">
        <f aca="false">D93/E93</f>
        <v>0.171875</v>
      </c>
      <c r="H93" s="8" t="n">
        <f aca="false">F93/100</f>
        <v>0</v>
      </c>
    </row>
    <row r="94" customFormat="false" ht="15" hidden="false" customHeight="false" outlineLevel="0" collapsed="false">
      <c r="A94" s="2" t="s">
        <v>38</v>
      </c>
      <c r="B94" s="2" t="n">
        <v>1</v>
      </c>
      <c r="C94" s="2" t="s">
        <v>96</v>
      </c>
      <c r="D94" s="2" t="n">
        <v>256</v>
      </c>
      <c r="E94" s="2" t="n">
        <v>1024</v>
      </c>
      <c r="F94" s="2" t="n">
        <v>0</v>
      </c>
      <c r="G94" s="8" t="n">
        <f aca="false">D94/E94</f>
        <v>0.25</v>
      </c>
      <c r="H94" s="8" t="n">
        <f aca="false">F94/100</f>
        <v>0</v>
      </c>
    </row>
    <row r="95" customFormat="false" ht="15" hidden="false" customHeight="false" outlineLevel="0" collapsed="false">
      <c r="A95" s="2" t="s">
        <v>38</v>
      </c>
      <c r="B95" s="2" t="n">
        <v>1</v>
      </c>
      <c r="C95" s="2" t="s">
        <v>93</v>
      </c>
      <c r="D95" s="2" t="n">
        <v>208</v>
      </c>
      <c r="E95" s="2" t="n">
        <v>1024</v>
      </c>
      <c r="F95" s="2" t="n">
        <v>99</v>
      </c>
      <c r="G95" s="8" t="n">
        <f aca="false">D95/E95</f>
        <v>0.203125</v>
      </c>
      <c r="H95" s="8" t="n">
        <f aca="false">F95/100</f>
        <v>0.99</v>
      </c>
    </row>
    <row r="96" customFormat="false" ht="15" hidden="false" customHeight="false" outlineLevel="0" collapsed="false">
      <c r="A96" s="2" t="s">
        <v>38</v>
      </c>
      <c r="B96" s="2" t="n">
        <v>1</v>
      </c>
      <c r="C96" s="2" t="s">
        <v>94</v>
      </c>
      <c r="D96" s="2" t="n">
        <v>1024</v>
      </c>
      <c r="E96" s="2" t="n">
        <v>4096</v>
      </c>
      <c r="F96" s="2" t="n">
        <v>0</v>
      </c>
      <c r="G96" s="8" t="n">
        <f aca="false">D96/E96</f>
        <v>0.25</v>
      </c>
      <c r="H96" s="8" t="n">
        <f aca="false">F96/100</f>
        <v>0</v>
      </c>
    </row>
    <row r="97" customFormat="false" ht="15" hidden="false" customHeight="false" outlineLevel="0" collapsed="false">
      <c r="A97" s="2" t="s">
        <v>38</v>
      </c>
      <c r="B97" s="2" t="n">
        <v>1</v>
      </c>
      <c r="C97" s="2" t="s">
        <v>97</v>
      </c>
      <c r="D97" s="2" t="n">
        <v>352</v>
      </c>
      <c r="E97" s="2" t="n">
        <v>2048</v>
      </c>
      <c r="F97" s="2" t="n">
        <v>0</v>
      </c>
      <c r="G97" s="8" t="n">
        <f aca="false">D97/E97</f>
        <v>0.171875</v>
      </c>
      <c r="H97" s="8" t="n">
        <f aca="false">F97/100</f>
        <v>0</v>
      </c>
    </row>
    <row r="98" customFormat="false" ht="15" hidden="false" customHeight="false" outlineLevel="0" collapsed="false">
      <c r="A98" s="2" t="s">
        <v>38</v>
      </c>
      <c r="B98" s="2" t="n">
        <v>2</v>
      </c>
      <c r="C98" s="2" t="s">
        <v>96</v>
      </c>
      <c r="D98" s="2" t="n">
        <v>256</v>
      </c>
      <c r="E98" s="2" t="n">
        <v>1024</v>
      </c>
      <c r="F98" s="2" t="n">
        <v>0</v>
      </c>
      <c r="G98" s="8" t="n">
        <f aca="false">D98/E98</f>
        <v>0.25</v>
      </c>
      <c r="H98" s="8" t="n">
        <f aca="false">F98/100</f>
        <v>0</v>
      </c>
    </row>
    <row r="99" customFormat="false" ht="15" hidden="false" customHeight="false" outlineLevel="0" collapsed="false">
      <c r="A99" s="2" t="s">
        <v>38</v>
      </c>
      <c r="B99" s="2" t="n">
        <v>2</v>
      </c>
      <c r="C99" s="2" t="s">
        <v>93</v>
      </c>
      <c r="D99" s="2" t="n">
        <v>208</v>
      </c>
      <c r="E99" s="2" t="n">
        <v>1024</v>
      </c>
      <c r="F99" s="2" t="n">
        <v>99</v>
      </c>
      <c r="G99" s="8" t="n">
        <f aca="false">D99/E99</f>
        <v>0.203125</v>
      </c>
      <c r="H99" s="8" t="n">
        <f aca="false">F99/100</f>
        <v>0.99</v>
      </c>
    </row>
    <row r="100" customFormat="false" ht="15" hidden="false" customHeight="false" outlineLevel="0" collapsed="false">
      <c r="A100" s="2" t="s">
        <v>38</v>
      </c>
      <c r="B100" s="2" t="n">
        <v>2</v>
      </c>
      <c r="C100" s="2" t="s">
        <v>94</v>
      </c>
      <c r="D100" s="2" t="n">
        <v>1024</v>
      </c>
      <c r="E100" s="2" t="n">
        <v>4096</v>
      </c>
      <c r="F100" s="2" t="n">
        <v>0</v>
      </c>
      <c r="G100" s="8" t="n">
        <f aca="false">D100/E100</f>
        <v>0.25</v>
      </c>
      <c r="H100" s="8" t="n">
        <f aca="false">F100/100</f>
        <v>0</v>
      </c>
    </row>
    <row r="101" customFormat="false" ht="15" hidden="false" customHeight="false" outlineLevel="0" collapsed="false">
      <c r="A101" s="2" t="s">
        <v>38</v>
      </c>
      <c r="B101" s="2" t="n">
        <v>2</v>
      </c>
      <c r="C101" s="2" t="s">
        <v>97</v>
      </c>
      <c r="D101" s="2" t="n">
        <v>352</v>
      </c>
      <c r="E101" s="2" t="n">
        <v>2048</v>
      </c>
      <c r="F101" s="2" t="n">
        <v>0</v>
      </c>
      <c r="G101" s="8" t="n">
        <f aca="false">D101/E101</f>
        <v>0.171875</v>
      </c>
      <c r="H101" s="8" t="n">
        <f aca="false">F101/100</f>
        <v>0</v>
      </c>
    </row>
    <row r="102" customFormat="false" ht="15" hidden="false" customHeight="false" outlineLevel="0" collapsed="false">
      <c r="A102" s="2" t="s">
        <v>38</v>
      </c>
      <c r="B102" s="2" t="n">
        <v>3</v>
      </c>
      <c r="C102" s="2" t="s">
        <v>96</v>
      </c>
      <c r="D102" s="2" t="n">
        <v>256</v>
      </c>
      <c r="E102" s="2" t="n">
        <v>1024</v>
      </c>
      <c r="F102" s="2" t="n">
        <v>0</v>
      </c>
      <c r="G102" s="8" t="n">
        <f aca="false">D102/E102</f>
        <v>0.25</v>
      </c>
      <c r="H102" s="8" t="n">
        <f aca="false">F102/100</f>
        <v>0</v>
      </c>
    </row>
    <row r="103" customFormat="false" ht="15" hidden="false" customHeight="false" outlineLevel="0" collapsed="false">
      <c r="A103" s="2" t="s">
        <v>38</v>
      </c>
      <c r="B103" s="2" t="n">
        <v>3</v>
      </c>
      <c r="C103" s="2" t="s">
        <v>93</v>
      </c>
      <c r="D103" s="2" t="n">
        <v>208</v>
      </c>
      <c r="E103" s="2" t="n">
        <v>1024</v>
      </c>
      <c r="F103" s="2" t="n">
        <v>99</v>
      </c>
      <c r="G103" s="8" t="n">
        <f aca="false">D103/E103</f>
        <v>0.203125</v>
      </c>
      <c r="H103" s="8" t="n">
        <f aca="false">F103/100</f>
        <v>0.99</v>
      </c>
    </row>
    <row r="104" customFormat="false" ht="15" hidden="false" customHeight="false" outlineLevel="0" collapsed="false">
      <c r="A104" s="2" t="s">
        <v>38</v>
      </c>
      <c r="B104" s="2" t="n">
        <v>3</v>
      </c>
      <c r="C104" s="2" t="s">
        <v>94</v>
      </c>
      <c r="D104" s="2" t="n">
        <v>1024</v>
      </c>
      <c r="E104" s="2" t="n">
        <v>4096</v>
      </c>
      <c r="F104" s="2" t="n">
        <v>0</v>
      </c>
      <c r="G104" s="8" t="n">
        <f aca="false">D104/E104</f>
        <v>0.25</v>
      </c>
      <c r="H104" s="8" t="n">
        <f aca="false">F104/100</f>
        <v>0</v>
      </c>
    </row>
    <row r="105" customFormat="false" ht="15" hidden="false" customHeight="false" outlineLevel="0" collapsed="false">
      <c r="A105" s="2" t="s">
        <v>38</v>
      </c>
      <c r="B105" s="2" t="n">
        <v>3</v>
      </c>
      <c r="C105" s="2" t="s">
        <v>97</v>
      </c>
      <c r="D105" s="2" t="n">
        <v>352</v>
      </c>
      <c r="E105" s="2" t="n">
        <v>2048</v>
      </c>
      <c r="F105" s="2" t="n">
        <v>0</v>
      </c>
      <c r="G105" s="8" t="n">
        <f aca="false">D105/E105</f>
        <v>0.171875</v>
      </c>
      <c r="H105" s="8" t="n">
        <f aca="false">F105/100</f>
        <v>0</v>
      </c>
    </row>
    <row r="106" customFormat="false" ht="15" hidden="false" customHeight="false" outlineLevel="0" collapsed="false">
      <c r="A106" s="2" t="s">
        <v>39</v>
      </c>
      <c r="B106" s="2" t="n">
        <v>1</v>
      </c>
      <c r="C106" s="2" t="s">
        <v>96</v>
      </c>
      <c r="D106" s="2" t="n">
        <v>256</v>
      </c>
      <c r="E106" s="2" t="n">
        <v>1024</v>
      </c>
      <c r="F106" s="2" t="n">
        <v>0</v>
      </c>
      <c r="G106" s="8" t="n">
        <f aca="false">D106/E106</f>
        <v>0.25</v>
      </c>
      <c r="H106" s="8" t="n">
        <f aca="false">F106/100</f>
        <v>0</v>
      </c>
    </row>
    <row r="107" customFormat="false" ht="15" hidden="false" customHeight="false" outlineLevel="0" collapsed="false">
      <c r="A107" s="2" t="s">
        <v>39</v>
      </c>
      <c r="B107" s="2" t="n">
        <v>1</v>
      </c>
      <c r="C107" s="2" t="s">
        <v>93</v>
      </c>
      <c r="D107" s="2" t="n">
        <v>208</v>
      </c>
      <c r="E107" s="2" t="n">
        <v>1024</v>
      </c>
      <c r="F107" s="2" t="n">
        <v>99</v>
      </c>
      <c r="G107" s="8" t="n">
        <f aca="false">D107/E107</f>
        <v>0.203125</v>
      </c>
      <c r="H107" s="8" t="n">
        <f aca="false">F107/100</f>
        <v>0.99</v>
      </c>
    </row>
    <row r="108" customFormat="false" ht="15" hidden="false" customHeight="false" outlineLevel="0" collapsed="false">
      <c r="A108" s="2" t="s">
        <v>39</v>
      </c>
      <c r="B108" s="2" t="n">
        <v>1</v>
      </c>
      <c r="C108" s="2" t="s">
        <v>94</v>
      </c>
      <c r="D108" s="2" t="n">
        <v>1024</v>
      </c>
      <c r="E108" s="2" t="n">
        <v>4096</v>
      </c>
      <c r="F108" s="2" t="n">
        <v>0</v>
      </c>
      <c r="G108" s="8" t="n">
        <f aca="false">D108/E108</f>
        <v>0.25</v>
      </c>
      <c r="H108" s="8" t="n">
        <f aca="false">F108/100</f>
        <v>0</v>
      </c>
    </row>
    <row r="109" customFormat="false" ht="15" hidden="false" customHeight="false" outlineLevel="0" collapsed="false">
      <c r="A109" s="2" t="s">
        <v>39</v>
      </c>
      <c r="B109" s="2" t="n">
        <v>1</v>
      </c>
      <c r="C109" s="2" t="s">
        <v>97</v>
      </c>
      <c r="D109" s="2" t="n">
        <v>352</v>
      </c>
      <c r="E109" s="2" t="n">
        <v>2048</v>
      </c>
      <c r="F109" s="2" t="n">
        <v>0</v>
      </c>
      <c r="G109" s="8" t="n">
        <f aca="false">D109/E109</f>
        <v>0.171875</v>
      </c>
      <c r="H109" s="8" t="n">
        <f aca="false">F109/100</f>
        <v>0</v>
      </c>
    </row>
    <row r="110" customFormat="false" ht="15" hidden="false" customHeight="false" outlineLevel="0" collapsed="false">
      <c r="A110" s="2" t="s">
        <v>39</v>
      </c>
      <c r="B110" s="2" t="n">
        <v>2</v>
      </c>
      <c r="C110" s="2" t="s">
        <v>96</v>
      </c>
      <c r="D110" s="2" t="n">
        <v>256</v>
      </c>
      <c r="E110" s="2" t="n">
        <v>1024</v>
      </c>
      <c r="F110" s="2" t="n">
        <v>0</v>
      </c>
      <c r="G110" s="8" t="n">
        <f aca="false">D110/E110</f>
        <v>0.25</v>
      </c>
      <c r="H110" s="8" t="n">
        <f aca="false">F110/100</f>
        <v>0</v>
      </c>
    </row>
    <row r="111" customFormat="false" ht="15" hidden="false" customHeight="false" outlineLevel="0" collapsed="false">
      <c r="A111" s="2" t="s">
        <v>39</v>
      </c>
      <c r="B111" s="2" t="n">
        <v>2</v>
      </c>
      <c r="C111" s="2" t="s">
        <v>93</v>
      </c>
      <c r="D111" s="2" t="n">
        <v>208</v>
      </c>
      <c r="E111" s="2" t="n">
        <v>1024</v>
      </c>
      <c r="F111" s="2" t="n">
        <v>99</v>
      </c>
      <c r="G111" s="8" t="n">
        <f aca="false">D111/E111</f>
        <v>0.203125</v>
      </c>
      <c r="H111" s="8" t="n">
        <f aca="false">F111/100</f>
        <v>0.99</v>
      </c>
    </row>
    <row r="112" customFormat="false" ht="15" hidden="false" customHeight="false" outlineLevel="0" collapsed="false">
      <c r="A112" s="2" t="s">
        <v>39</v>
      </c>
      <c r="B112" s="2" t="n">
        <v>2</v>
      </c>
      <c r="C112" s="2" t="s">
        <v>94</v>
      </c>
      <c r="D112" s="2" t="n">
        <v>1024</v>
      </c>
      <c r="E112" s="2" t="n">
        <v>4096</v>
      </c>
      <c r="F112" s="2" t="n">
        <v>0</v>
      </c>
      <c r="G112" s="8" t="n">
        <f aca="false">D112/E112</f>
        <v>0.25</v>
      </c>
      <c r="H112" s="8" t="n">
        <f aca="false">F112/100</f>
        <v>0</v>
      </c>
    </row>
    <row r="113" customFormat="false" ht="15" hidden="false" customHeight="false" outlineLevel="0" collapsed="false">
      <c r="A113" s="2" t="s">
        <v>39</v>
      </c>
      <c r="B113" s="2" t="n">
        <v>2</v>
      </c>
      <c r="C113" s="2" t="s">
        <v>97</v>
      </c>
      <c r="D113" s="2" t="n">
        <v>352</v>
      </c>
      <c r="E113" s="2" t="n">
        <v>2048</v>
      </c>
      <c r="F113" s="2" t="n">
        <v>0</v>
      </c>
      <c r="G113" s="8" t="n">
        <f aca="false">D113/E113</f>
        <v>0.171875</v>
      </c>
      <c r="H113" s="8" t="n">
        <f aca="false">F113/100</f>
        <v>0</v>
      </c>
    </row>
    <row r="114" customFormat="false" ht="15" hidden="false" customHeight="false" outlineLevel="0" collapsed="false">
      <c r="A114" s="2" t="s">
        <v>39</v>
      </c>
      <c r="B114" s="2" t="n">
        <v>3</v>
      </c>
      <c r="C114" s="2" t="s">
        <v>96</v>
      </c>
      <c r="D114" s="2" t="n">
        <v>256</v>
      </c>
      <c r="E114" s="2" t="n">
        <v>1024</v>
      </c>
      <c r="F114" s="2" t="n">
        <v>0</v>
      </c>
      <c r="G114" s="8" t="n">
        <f aca="false">D114/E114</f>
        <v>0.25</v>
      </c>
      <c r="H114" s="8" t="n">
        <f aca="false">F114/100</f>
        <v>0</v>
      </c>
    </row>
    <row r="115" customFormat="false" ht="15" hidden="false" customHeight="false" outlineLevel="0" collapsed="false">
      <c r="A115" s="2" t="s">
        <v>39</v>
      </c>
      <c r="B115" s="2" t="n">
        <v>3</v>
      </c>
      <c r="C115" s="2" t="s">
        <v>93</v>
      </c>
      <c r="D115" s="2" t="n">
        <v>208</v>
      </c>
      <c r="E115" s="2" t="n">
        <v>1024</v>
      </c>
      <c r="F115" s="2" t="n">
        <v>99</v>
      </c>
      <c r="G115" s="8" t="n">
        <f aca="false">D115/E115</f>
        <v>0.203125</v>
      </c>
      <c r="H115" s="8" t="n">
        <f aca="false">F115/100</f>
        <v>0.99</v>
      </c>
    </row>
    <row r="116" customFormat="false" ht="15" hidden="false" customHeight="false" outlineLevel="0" collapsed="false">
      <c r="A116" s="2" t="s">
        <v>39</v>
      </c>
      <c r="B116" s="2" t="n">
        <v>3</v>
      </c>
      <c r="C116" s="2" t="s">
        <v>94</v>
      </c>
      <c r="D116" s="2" t="n">
        <v>1024</v>
      </c>
      <c r="E116" s="2" t="n">
        <v>4096</v>
      </c>
      <c r="F116" s="2" t="n">
        <v>0</v>
      </c>
      <c r="G116" s="8" t="n">
        <f aca="false">D116/E116</f>
        <v>0.25</v>
      </c>
      <c r="H116" s="8" t="n">
        <f aca="false">F116/100</f>
        <v>0</v>
      </c>
    </row>
    <row r="117" customFormat="false" ht="15" hidden="false" customHeight="false" outlineLevel="0" collapsed="false">
      <c r="A117" s="2" t="s">
        <v>39</v>
      </c>
      <c r="B117" s="2" t="n">
        <v>3</v>
      </c>
      <c r="C117" s="2" t="s">
        <v>97</v>
      </c>
      <c r="D117" s="2" t="n">
        <v>352</v>
      </c>
      <c r="E117" s="2" t="n">
        <v>2048</v>
      </c>
      <c r="F117" s="2" t="n">
        <v>0</v>
      </c>
      <c r="G117" s="8" t="n">
        <f aca="false">D117/E117</f>
        <v>0.171875</v>
      </c>
      <c r="H117" s="8" t="n">
        <f aca="false">F117/100</f>
        <v>0</v>
      </c>
    </row>
    <row r="118" customFormat="false" ht="15" hidden="false" customHeight="false" outlineLevel="0" collapsed="false">
      <c r="A118" s="2" t="s">
        <v>40</v>
      </c>
      <c r="B118" s="2" t="n">
        <v>1</v>
      </c>
      <c r="C118" s="2" t="s">
        <v>96</v>
      </c>
      <c r="D118" s="2" t="n">
        <v>256</v>
      </c>
      <c r="E118" s="2" t="n">
        <v>1024</v>
      </c>
      <c r="F118" s="2" t="n">
        <v>0</v>
      </c>
      <c r="G118" s="8" t="n">
        <f aca="false">D118/E118</f>
        <v>0.25</v>
      </c>
      <c r="H118" s="8" t="n">
        <f aca="false">F118/100</f>
        <v>0</v>
      </c>
    </row>
    <row r="119" customFormat="false" ht="15" hidden="false" customHeight="false" outlineLevel="0" collapsed="false">
      <c r="A119" s="2" t="s">
        <v>40</v>
      </c>
      <c r="B119" s="2" t="n">
        <v>1</v>
      </c>
      <c r="C119" s="2" t="s">
        <v>93</v>
      </c>
      <c r="D119" s="2" t="n">
        <v>208</v>
      </c>
      <c r="E119" s="2" t="n">
        <v>1024</v>
      </c>
      <c r="F119" s="2" t="n">
        <v>99</v>
      </c>
      <c r="G119" s="8" t="n">
        <f aca="false">D119/E119</f>
        <v>0.203125</v>
      </c>
      <c r="H119" s="8" t="n">
        <f aca="false">F119/100</f>
        <v>0.99</v>
      </c>
    </row>
    <row r="120" customFormat="false" ht="15" hidden="false" customHeight="false" outlineLevel="0" collapsed="false">
      <c r="A120" s="2" t="s">
        <v>40</v>
      </c>
      <c r="B120" s="2" t="n">
        <v>1</v>
      </c>
      <c r="C120" s="2" t="s">
        <v>94</v>
      </c>
      <c r="D120" s="2" t="n">
        <v>1024</v>
      </c>
      <c r="E120" s="2" t="n">
        <v>4096</v>
      </c>
      <c r="F120" s="2" t="n">
        <v>0</v>
      </c>
      <c r="G120" s="8" t="n">
        <f aca="false">D120/E120</f>
        <v>0.25</v>
      </c>
      <c r="H120" s="8" t="n">
        <f aca="false">F120/100</f>
        <v>0</v>
      </c>
    </row>
    <row r="121" customFormat="false" ht="15" hidden="false" customHeight="false" outlineLevel="0" collapsed="false">
      <c r="A121" s="2" t="s">
        <v>40</v>
      </c>
      <c r="B121" s="2" t="n">
        <v>1</v>
      </c>
      <c r="C121" s="2" t="s">
        <v>97</v>
      </c>
      <c r="D121" s="2" t="n">
        <v>352</v>
      </c>
      <c r="E121" s="2" t="n">
        <v>2048</v>
      </c>
      <c r="F121" s="2" t="n">
        <v>0</v>
      </c>
      <c r="G121" s="8" t="n">
        <f aca="false">D121/E121</f>
        <v>0.171875</v>
      </c>
      <c r="H121" s="8" t="n">
        <f aca="false">F121/100</f>
        <v>0</v>
      </c>
    </row>
    <row r="122" customFormat="false" ht="15" hidden="false" customHeight="false" outlineLevel="0" collapsed="false">
      <c r="A122" s="2" t="s">
        <v>40</v>
      </c>
      <c r="B122" s="2" t="n">
        <v>2</v>
      </c>
      <c r="C122" s="2" t="s">
        <v>96</v>
      </c>
      <c r="D122" s="2" t="n">
        <v>256</v>
      </c>
      <c r="E122" s="2" t="n">
        <v>1024</v>
      </c>
      <c r="F122" s="2" t="n">
        <v>0</v>
      </c>
      <c r="G122" s="8" t="n">
        <f aca="false">D122/E122</f>
        <v>0.25</v>
      </c>
      <c r="H122" s="8" t="n">
        <f aca="false">F122/100</f>
        <v>0</v>
      </c>
    </row>
    <row r="123" customFormat="false" ht="15" hidden="false" customHeight="false" outlineLevel="0" collapsed="false">
      <c r="A123" s="2" t="s">
        <v>40</v>
      </c>
      <c r="B123" s="2" t="n">
        <v>2</v>
      </c>
      <c r="C123" s="2" t="s">
        <v>93</v>
      </c>
      <c r="D123" s="2" t="n">
        <v>208</v>
      </c>
      <c r="E123" s="2" t="n">
        <v>1024</v>
      </c>
      <c r="F123" s="2" t="n">
        <v>99</v>
      </c>
      <c r="G123" s="8" t="n">
        <f aca="false">D123/E123</f>
        <v>0.203125</v>
      </c>
      <c r="H123" s="8" t="n">
        <f aca="false">F123/100</f>
        <v>0.99</v>
      </c>
    </row>
    <row r="124" customFormat="false" ht="15" hidden="false" customHeight="false" outlineLevel="0" collapsed="false">
      <c r="A124" s="2" t="s">
        <v>40</v>
      </c>
      <c r="B124" s="2" t="n">
        <v>2</v>
      </c>
      <c r="C124" s="2" t="s">
        <v>94</v>
      </c>
      <c r="D124" s="2" t="n">
        <v>1024</v>
      </c>
      <c r="E124" s="2" t="n">
        <v>4096</v>
      </c>
      <c r="F124" s="2" t="n">
        <v>0</v>
      </c>
      <c r="G124" s="8" t="n">
        <f aca="false">D124/E124</f>
        <v>0.25</v>
      </c>
      <c r="H124" s="8" t="n">
        <f aca="false">F124/100</f>
        <v>0</v>
      </c>
    </row>
    <row r="125" customFormat="false" ht="15" hidden="false" customHeight="false" outlineLevel="0" collapsed="false">
      <c r="A125" s="2" t="s">
        <v>40</v>
      </c>
      <c r="B125" s="2" t="n">
        <v>2</v>
      </c>
      <c r="C125" s="2" t="s">
        <v>97</v>
      </c>
      <c r="D125" s="2" t="n">
        <v>352</v>
      </c>
      <c r="E125" s="2" t="n">
        <v>2048</v>
      </c>
      <c r="F125" s="2" t="n">
        <v>0</v>
      </c>
      <c r="G125" s="8" t="n">
        <f aca="false">D125/E125</f>
        <v>0.171875</v>
      </c>
      <c r="H125" s="8" t="n">
        <f aca="false">F125/100</f>
        <v>0</v>
      </c>
    </row>
    <row r="126" customFormat="false" ht="15" hidden="false" customHeight="false" outlineLevel="0" collapsed="false">
      <c r="A126" s="2" t="s">
        <v>40</v>
      </c>
      <c r="B126" s="2" t="n">
        <v>3</v>
      </c>
      <c r="C126" s="2" t="s">
        <v>96</v>
      </c>
      <c r="D126" s="2" t="n">
        <v>256</v>
      </c>
      <c r="E126" s="2" t="n">
        <v>1024</v>
      </c>
      <c r="F126" s="2" t="n">
        <v>0</v>
      </c>
      <c r="G126" s="8" t="n">
        <f aca="false">D126/E126</f>
        <v>0.25</v>
      </c>
      <c r="H126" s="8" t="n">
        <f aca="false">F126/100</f>
        <v>0</v>
      </c>
    </row>
    <row r="127" customFormat="false" ht="15" hidden="false" customHeight="false" outlineLevel="0" collapsed="false">
      <c r="A127" s="2" t="s">
        <v>40</v>
      </c>
      <c r="B127" s="2" t="n">
        <v>3</v>
      </c>
      <c r="C127" s="2" t="s">
        <v>93</v>
      </c>
      <c r="D127" s="2" t="n">
        <v>208</v>
      </c>
      <c r="E127" s="2" t="n">
        <v>1024</v>
      </c>
      <c r="F127" s="2" t="n">
        <v>99</v>
      </c>
      <c r="G127" s="8" t="n">
        <f aca="false">D127/E127</f>
        <v>0.203125</v>
      </c>
      <c r="H127" s="8" t="n">
        <f aca="false">F127/100</f>
        <v>0.99</v>
      </c>
    </row>
    <row r="128" customFormat="false" ht="15" hidden="false" customHeight="false" outlineLevel="0" collapsed="false">
      <c r="A128" s="2" t="s">
        <v>40</v>
      </c>
      <c r="B128" s="2" t="n">
        <v>3</v>
      </c>
      <c r="C128" s="2" t="s">
        <v>94</v>
      </c>
      <c r="D128" s="2" t="n">
        <v>1024</v>
      </c>
      <c r="E128" s="2" t="n">
        <v>4096</v>
      </c>
      <c r="F128" s="2" t="n">
        <v>0</v>
      </c>
      <c r="G128" s="8" t="n">
        <f aca="false">D128/E128</f>
        <v>0.25</v>
      </c>
      <c r="H128" s="8" t="n">
        <f aca="false">F128/100</f>
        <v>0</v>
      </c>
    </row>
    <row r="129" customFormat="false" ht="15" hidden="false" customHeight="false" outlineLevel="0" collapsed="false">
      <c r="A129" s="2" t="s">
        <v>40</v>
      </c>
      <c r="B129" s="2" t="n">
        <v>3</v>
      </c>
      <c r="C129" s="2" t="s">
        <v>97</v>
      </c>
      <c r="D129" s="2" t="n">
        <v>352</v>
      </c>
      <c r="E129" s="2" t="n">
        <v>2048</v>
      </c>
      <c r="F129" s="2" t="n">
        <v>0</v>
      </c>
      <c r="G129" s="8" t="n">
        <f aca="false">D129/E129</f>
        <v>0.171875</v>
      </c>
      <c r="H129" s="8" t="n">
        <f aca="false">F129/100</f>
        <v>0</v>
      </c>
    </row>
    <row r="130" customFormat="false" ht="15" hidden="false" customHeight="false" outlineLevel="0" collapsed="false">
      <c r="A130" s="2" t="s">
        <v>41</v>
      </c>
      <c r="B130" s="2" t="n">
        <v>1</v>
      </c>
      <c r="C130" s="2" t="s">
        <v>96</v>
      </c>
      <c r="D130" s="2" t="n">
        <v>256</v>
      </c>
      <c r="E130" s="2" t="n">
        <v>1024</v>
      </c>
      <c r="F130" s="2" t="n">
        <v>0</v>
      </c>
      <c r="G130" s="8" t="n">
        <f aca="false">D130/E130</f>
        <v>0.25</v>
      </c>
      <c r="H130" s="8" t="n">
        <f aca="false">F130/100</f>
        <v>0</v>
      </c>
    </row>
    <row r="131" customFormat="false" ht="15" hidden="false" customHeight="false" outlineLevel="0" collapsed="false">
      <c r="A131" s="2" t="s">
        <v>41</v>
      </c>
      <c r="B131" s="2" t="n">
        <v>1</v>
      </c>
      <c r="C131" s="2" t="s">
        <v>93</v>
      </c>
      <c r="D131" s="2" t="n">
        <v>208</v>
      </c>
      <c r="E131" s="2" t="n">
        <v>1024</v>
      </c>
      <c r="F131" s="2" t="n">
        <v>99</v>
      </c>
      <c r="G131" s="8" t="n">
        <f aca="false">D131/E131</f>
        <v>0.203125</v>
      </c>
      <c r="H131" s="8" t="n">
        <f aca="false">F131/100</f>
        <v>0.99</v>
      </c>
    </row>
    <row r="132" customFormat="false" ht="15" hidden="false" customHeight="false" outlineLevel="0" collapsed="false">
      <c r="A132" s="2" t="s">
        <v>41</v>
      </c>
      <c r="B132" s="2" t="n">
        <v>1</v>
      </c>
      <c r="C132" s="2" t="s">
        <v>94</v>
      </c>
      <c r="D132" s="2" t="n">
        <v>1024</v>
      </c>
      <c r="E132" s="2" t="n">
        <v>4096</v>
      </c>
      <c r="F132" s="2" t="n">
        <v>0</v>
      </c>
      <c r="G132" s="8" t="n">
        <f aca="false">D132/E132</f>
        <v>0.25</v>
      </c>
      <c r="H132" s="8" t="n">
        <f aca="false">F132/100</f>
        <v>0</v>
      </c>
    </row>
    <row r="133" customFormat="false" ht="15" hidden="false" customHeight="false" outlineLevel="0" collapsed="false">
      <c r="A133" s="2" t="s">
        <v>41</v>
      </c>
      <c r="B133" s="2" t="n">
        <v>1</v>
      </c>
      <c r="C133" s="2" t="s">
        <v>97</v>
      </c>
      <c r="D133" s="2" t="n">
        <v>352</v>
      </c>
      <c r="E133" s="2" t="n">
        <v>2048</v>
      </c>
      <c r="F133" s="2" t="n">
        <v>0</v>
      </c>
      <c r="G133" s="8" t="n">
        <f aca="false">D133/E133</f>
        <v>0.171875</v>
      </c>
      <c r="H133" s="8" t="n">
        <f aca="false">F133/100</f>
        <v>0</v>
      </c>
    </row>
    <row r="134" customFormat="false" ht="15" hidden="false" customHeight="false" outlineLevel="0" collapsed="false">
      <c r="A134" s="2" t="s">
        <v>41</v>
      </c>
      <c r="B134" s="2" t="n">
        <v>2</v>
      </c>
      <c r="C134" s="2" t="s">
        <v>96</v>
      </c>
      <c r="D134" s="2" t="n">
        <v>256</v>
      </c>
      <c r="E134" s="2" t="n">
        <v>1024</v>
      </c>
      <c r="F134" s="2" t="n">
        <v>0</v>
      </c>
      <c r="G134" s="8" t="n">
        <f aca="false">D134/E134</f>
        <v>0.25</v>
      </c>
      <c r="H134" s="8" t="n">
        <f aca="false">F134/100</f>
        <v>0</v>
      </c>
    </row>
    <row r="135" customFormat="false" ht="15" hidden="false" customHeight="false" outlineLevel="0" collapsed="false">
      <c r="A135" s="2" t="s">
        <v>41</v>
      </c>
      <c r="B135" s="2" t="n">
        <v>2</v>
      </c>
      <c r="C135" s="2" t="s">
        <v>93</v>
      </c>
      <c r="D135" s="2" t="n">
        <v>208</v>
      </c>
      <c r="E135" s="2" t="n">
        <v>1024</v>
      </c>
      <c r="F135" s="2" t="n">
        <v>99</v>
      </c>
      <c r="G135" s="8" t="n">
        <f aca="false">D135/E135</f>
        <v>0.203125</v>
      </c>
      <c r="H135" s="8" t="n">
        <f aca="false">F135/100</f>
        <v>0.99</v>
      </c>
    </row>
    <row r="136" customFormat="false" ht="15" hidden="false" customHeight="false" outlineLevel="0" collapsed="false">
      <c r="A136" s="2" t="s">
        <v>41</v>
      </c>
      <c r="B136" s="2" t="n">
        <v>2</v>
      </c>
      <c r="C136" s="2" t="s">
        <v>94</v>
      </c>
      <c r="D136" s="2" t="n">
        <v>1024</v>
      </c>
      <c r="E136" s="2" t="n">
        <v>4096</v>
      </c>
      <c r="F136" s="2" t="n">
        <v>0</v>
      </c>
      <c r="G136" s="8" t="n">
        <f aca="false">D136/E136</f>
        <v>0.25</v>
      </c>
      <c r="H136" s="8" t="n">
        <f aca="false">F136/100</f>
        <v>0</v>
      </c>
    </row>
    <row r="137" customFormat="false" ht="15" hidden="false" customHeight="false" outlineLevel="0" collapsed="false">
      <c r="A137" s="2" t="s">
        <v>41</v>
      </c>
      <c r="B137" s="2" t="n">
        <v>2</v>
      </c>
      <c r="C137" s="2" t="s">
        <v>97</v>
      </c>
      <c r="D137" s="2" t="n">
        <v>352</v>
      </c>
      <c r="E137" s="2" t="n">
        <v>2048</v>
      </c>
      <c r="F137" s="2" t="n">
        <v>0</v>
      </c>
      <c r="G137" s="8" t="n">
        <f aca="false">D137/E137</f>
        <v>0.171875</v>
      </c>
      <c r="H137" s="8" t="n">
        <f aca="false">F137/100</f>
        <v>0</v>
      </c>
    </row>
    <row r="138" customFormat="false" ht="15" hidden="false" customHeight="false" outlineLevel="0" collapsed="false">
      <c r="A138" s="2" t="s">
        <v>41</v>
      </c>
      <c r="B138" s="2" t="n">
        <v>3</v>
      </c>
      <c r="C138" s="2" t="s">
        <v>96</v>
      </c>
      <c r="D138" s="2" t="n">
        <v>256</v>
      </c>
      <c r="E138" s="2" t="n">
        <v>1024</v>
      </c>
      <c r="F138" s="2" t="n">
        <v>0</v>
      </c>
      <c r="G138" s="8" t="n">
        <f aca="false">D138/E138</f>
        <v>0.25</v>
      </c>
      <c r="H138" s="8" t="n">
        <f aca="false">F138/100</f>
        <v>0</v>
      </c>
    </row>
    <row r="139" customFormat="false" ht="15" hidden="false" customHeight="false" outlineLevel="0" collapsed="false">
      <c r="A139" s="2" t="s">
        <v>41</v>
      </c>
      <c r="B139" s="2" t="n">
        <v>3</v>
      </c>
      <c r="C139" s="2" t="s">
        <v>93</v>
      </c>
      <c r="D139" s="2" t="n">
        <v>208</v>
      </c>
      <c r="E139" s="2" t="n">
        <v>1024</v>
      </c>
      <c r="F139" s="2" t="n">
        <v>99</v>
      </c>
      <c r="G139" s="8" t="n">
        <f aca="false">D139/E139</f>
        <v>0.203125</v>
      </c>
      <c r="H139" s="8" t="n">
        <f aca="false">F139/100</f>
        <v>0.99</v>
      </c>
    </row>
    <row r="140" customFormat="false" ht="15" hidden="false" customHeight="false" outlineLevel="0" collapsed="false">
      <c r="A140" s="2" t="s">
        <v>41</v>
      </c>
      <c r="B140" s="2" t="n">
        <v>3</v>
      </c>
      <c r="C140" s="2" t="s">
        <v>94</v>
      </c>
      <c r="D140" s="2" t="n">
        <v>1024</v>
      </c>
      <c r="E140" s="2" t="n">
        <v>4096</v>
      </c>
      <c r="F140" s="2" t="n">
        <v>0</v>
      </c>
      <c r="G140" s="8" t="n">
        <f aca="false">D140/E140</f>
        <v>0.25</v>
      </c>
      <c r="H140" s="8" t="n">
        <f aca="false">F140/100</f>
        <v>0</v>
      </c>
    </row>
    <row r="141" customFormat="false" ht="15" hidden="false" customHeight="false" outlineLevel="0" collapsed="false">
      <c r="A141" s="2" t="s">
        <v>41</v>
      </c>
      <c r="B141" s="2" t="n">
        <v>3</v>
      </c>
      <c r="C141" s="2" t="s">
        <v>97</v>
      </c>
      <c r="D141" s="2" t="n">
        <v>352</v>
      </c>
      <c r="E141" s="2" t="n">
        <v>2048</v>
      </c>
      <c r="F141" s="2" t="n">
        <v>0</v>
      </c>
      <c r="G141" s="8" t="n">
        <f aca="false">D141/E141</f>
        <v>0.171875</v>
      </c>
      <c r="H141" s="8" t="n">
        <f aca="false">F141/100</f>
        <v>0</v>
      </c>
    </row>
    <row r="142" customFormat="false" ht="15" hidden="false" customHeight="false" outlineLevel="0" collapsed="false">
      <c r="A142" s="2" t="s">
        <v>42</v>
      </c>
      <c r="B142" s="2" t="n">
        <v>1</v>
      </c>
      <c r="C142" s="2" t="s">
        <v>96</v>
      </c>
      <c r="D142" s="2" t="n">
        <v>256</v>
      </c>
      <c r="E142" s="2" t="n">
        <v>1024</v>
      </c>
      <c r="F142" s="2" t="n">
        <v>0</v>
      </c>
      <c r="G142" s="8" t="n">
        <f aca="false">D142/E142</f>
        <v>0.25</v>
      </c>
      <c r="H142" s="8" t="n">
        <f aca="false">F142/100</f>
        <v>0</v>
      </c>
    </row>
    <row r="143" customFormat="false" ht="15" hidden="false" customHeight="false" outlineLevel="0" collapsed="false">
      <c r="A143" s="2" t="s">
        <v>42</v>
      </c>
      <c r="B143" s="2" t="n">
        <v>1</v>
      </c>
      <c r="C143" s="2" t="s">
        <v>93</v>
      </c>
      <c r="D143" s="2" t="n">
        <v>208</v>
      </c>
      <c r="E143" s="2" t="n">
        <v>1024</v>
      </c>
      <c r="F143" s="2" t="n">
        <v>99</v>
      </c>
      <c r="G143" s="8" t="n">
        <f aca="false">D143/E143</f>
        <v>0.203125</v>
      </c>
      <c r="H143" s="8" t="n">
        <f aca="false">F143/100</f>
        <v>0.99</v>
      </c>
    </row>
    <row r="144" customFormat="false" ht="15" hidden="false" customHeight="false" outlineLevel="0" collapsed="false">
      <c r="A144" s="2" t="s">
        <v>42</v>
      </c>
      <c r="B144" s="2" t="n">
        <v>1</v>
      </c>
      <c r="C144" s="2" t="s">
        <v>94</v>
      </c>
      <c r="D144" s="2" t="n">
        <v>1024</v>
      </c>
      <c r="E144" s="2" t="n">
        <v>4096</v>
      </c>
      <c r="F144" s="2" t="n">
        <v>0</v>
      </c>
      <c r="G144" s="8" t="n">
        <f aca="false">D144/E144</f>
        <v>0.25</v>
      </c>
      <c r="H144" s="8" t="n">
        <f aca="false">F144/100</f>
        <v>0</v>
      </c>
    </row>
    <row r="145" customFormat="false" ht="15" hidden="false" customHeight="false" outlineLevel="0" collapsed="false">
      <c r="A145" s="2" t="s">
        <v>42</v>
      </c>
      <c r="B145" s="2" t="n">
        <v>1</v>
      </c>
      <c r="C145" s="2" t="s">
        <v>97</v>
      </c>
      <c r="D145" s="2" t="n">
        <v>352</v>
      </c>
      <c r="E145" s="2" t="n">
        <v>2048</v>
      </c>
      <c r="F145" s="2" t="n">
        <v>0</v>
      </c>
      <c r="G145" s="8" t="n">
        <f aca="false">D145/E145</f>
        <v>0.171875</v>
      </c>
      <c r="H145" s="8" t="n">
        <f aca="false">F145/100</f>
        <v>0</v>
      </c>
    </row>
    <row r="146" customFormat="false" ht="15" hidden="false" customHeight="false" outlineLevel="0" collapsed="false">
      <c r="A146" s="2" t="s">
        <v>42</v>
      </c>
      <c r="B146" s="2" t="n">
        <v>2</v>
      </c>
      <c r="C146" s="2" t="s">
        <v>96</v>
      </c>
      <c r="D146" s="2" t="n">
        <v>256</v>
      </c>
      <c r="E146" s="2" t="n">
        <v>1024</v>
      </c>
      <c r="F146" s="2" t="n">
        <v>0</v>
      </c>
      <c r="G146" s="8" t="n">
        <f aca="false">D146/E146</f>
        <v>0.25</v>
      </c>
      <c r="H146" s="8" t="n">
        <f aca="false">F146/100</f>
        <v>0</v>
      </c>
    </row>
    <row r="147" customFormat="false" ht="15" hidden="false" customHeight="false" outlineLevel="0" collapsed="false">
      <c r="A147" s="2" t="s">
        <v>42</v>
      </c>
      <c r="B147" s="2" t="n">
        <v>2</v>
      </c>
      <c r="C147" s="2" t="s">
        <v>93</v>
      </c>
      <c r="D147" s="2" t="n">
        <v>208</v>
      </c>
      <c r="E147" s="2" t="n">
        <v>1024</v>
      </c>
      <c r="F147" s="2" t="n">
        <v>99</v>
      </c>
      <c r="G147" s="8" t="n">
        <f aca="false">D147/E147</f>
        <v>0.203125</v>
      </c>
      <c r="H147" s="8" t="n">
        <f aca="false">F147/100</f>
        <v>0.99</v>
      </c>
    </row>
    <row r="148" customFormat="false" ht="15" hidden="false" customHeight="false" outlineLevel="0" collapsed="false">
      <c r="A148" s="2" t="s">
        <v>42</v>
      </c>
      <c r="B148" s="2" t="n">
        <v>2</v>
      </c>
      <c r="C148" s="2" t="s">
        <v>94</v>
      </c>
      <c r="D148" s="2" t="n">
        <v>1024</v>
      </c>
      <c r="E148" s="2" t="n">
        <v>4096</v>
      </c>
      <c r="F148" s="2" t="n">
        <v>0</v>
      </c>
      <c r="G148" s="8" t="n">
        <f aca="false">D148/E148</f>
        <v>0.25</v>
      </c>
      <c r="H148" s="8" t="n">
        <f aca="false">F148/100</f>
        <v>0</v>
      </c>
    </row>
    <row r="149" customFormat="false" ht="15" hidden="false" customHeight="false" outlineLevel="0" collapsed="false">
      <c r="A149" s="2" t="s">
        <v>42</v>
      </c>
      <c r="B149" s="2" t="n">
        <v>2</v>
      </c>
      <c r="C149" s="2" t="s">
        <v>97</v>
      </c>
      <c r="D149" s="2" t="n">
        <v>352</v>
      </c>
      <c r="E149" s="2" t="n">
        <v>2048</v>
      </c>
      <c r="F149" s="2" t="n">
        <v>0</v>
      </c>
      <c r="G149" s="8" t="n">
        <f aca="false">D149/E149</f>
        <v>0.171875</v>
      </c>
      <c r="H149" s="8" t="n">
        <f aca="false">F149/100</f>
        <v>0</v>
      </c>
    </row>
    <row r="150" customFormat="false" ht="15" hidden="false" customHeight="false" outlineLevel="0" collapsed="false">
      <c r="A150" s="2" t="s">
        <v>42</v>
      </c>
      <c r="B150" s="2" t="n">
        <v>3</v>
      </c>
      <c r="C150" s="2" t="s">
        <v>96</v>
      </c>
      <c r="D150" s="2" t="n">
        <v>256</v>
      </c>
      <c r="E150" s="2" t="n">
        <v>1024</v>
      </c>
      <c r="F150" s="2" t="n">
        <v>0</v>
      </c>
      <c r="G150" s="8" t="n">
        <f aca="false">D150/E150</f>
        <v>0.25</v>
      </c>
      <c r="H150" s="8" t="n">
        <f aca="false">F150/100</f>
        <v>0</v>
      </c>
    </row>
    <row r="151" customFormat="false" ht="15" hidden="false" customHeight="false" outlineLevel="0" collapsed="false">
      <c r="A151" s="2" t="s">
        <v>42</v>
      </c>
      <c r="B151" s="2" t="n">
        <v>3</v>
      </c>
      <c r="C151" s="2" t="s">
        <v>93</v>
      </c>
      <c r="D151" s="2" t="n">
        <v>208</v>
      </c>
      <c r="E151" s="2" t="n">
        <v>1024</v>
      </c>
      <c r="F151" s="2" t="n">
        <v>99</v>
      </c>
      <c r="G151" s="8" t="n">
        <f aca="false">D151/E151</f>
        <v>0.203125</v>
      </c>
      <c r="H151" s="8" t="n">
        <f aca="false">F151/100</f>
        <v>0.99</v>
      </c>
    </row>
    <row r="152" customFormat="false" ht="15" hidden="false" customHeight="false" outlineLevel="0" collapsed="false">
      <c r="A152" s="2" t="s">
        <v>42</v>
      </c>
      <c r="B152" s="2" t="n">
        <v>3</v>
      </c>
      <c r="C152" s="2" t="s">
        <v>94</v>
      </c>
      <c r="D152" s="2" t="n">
        <v>1024</v>
      </c>
      <c r="E152" s="2" t="n">
        <v>4096</v>
      </c>
      <c r="F152" s="2" t="n">
        <v>0</v>
      </c>
      <c r="G152" s="8" t="n">
        <f aca="false">D152/E152</f>
        <v>0.25</v>
      </c>
      <c r="H152" s="8" t="n">
        <f aca="false">F152/100</f>
        <v>0</v>
      </c>
    </row>
    <row r="153" customFormat="false" ht="15" hidden="false" customHeight="false" outlineLevel="0" collapsed="false">
      <c r="A153" s="2" t="s">
        <v>42</v>
      </c>
      <c r="B153" s="2" t="n">
        <v>3</v>
      </c>
      <c r="C153" s="2" t="s">
        <v>97</v>
      </c>
      <c r="D153" s="2" t="n">
        <v>352</v>
      </c>
      <c r="E153" s="2" t="n">
        <v>2048</v>
      </c>
      <c r="F153" s="2" t="n">
        <v>0</v>
      </c>
      <c r="G153" s="8" t="n">
        <f aca="false">D153/E153</f>
        <v>0.171875</v>
      </c>
      <c r="H153" s="8" t="n">
        <f aca="false">F153/100</f>
        <v>0</v>
      </c>
    </row>
    <row r="154" customFormat="false" ht="15" hidden="false" customHeight="false" outlineLevel="0" collapsed="false">
      <c r="A154" s="2" t="s">
        <v>43</v>
      </c>
      <c r="B154" s="2" t="n">
        <v>1</v>
      </c>
      <c r="C154" s="2" t="s">
        <v>96</v>
      </c>
      <c r="D154" s="2" t="n">
        <v>256</v>
      </c>
      <c r="E154" s="2" t="n">
        <v>1024</v>
      </c>
      <c r="F154" s="2" t="n">
        <v>0</v>
      </c>
      <c r="G154" s="8" t="n">
        <f aca="false">D154/E154</f>
        <v>0.25</v>
      </c>
      <c r="H154" s="8" t="n">
        <f aca="false">F154/100</f>
        <v>0</v>
      </c>
    </row>
    <row r="155" customFormat="false" ht="15" hidden="false" customHeight="false" outlineLevel="0" collapsed="false">
      <c r="A155" s="2" t="s">
        <v>43</v>
      </c>
      <c r="B155" s="2" t="n">
        <v>1</v>
      </c>
      <c r="C155" s="2" t="s">
        <v>93</v>
      </c>
      <c r="D155" s="2" t="n">
        <v>208</v>
      </c>
      <c r="E155" s="2" t="n">
        <v>1024</v>
      </c>
      <c r="F155" s="2" t="n">
        <v>99</v>
      </c>
      <c r="G155" s="8" t="n">
        <f aca="false">D155/E155</f>
        <v>0.203125</v>
      </c>
      <c r="H155" s="8" t="n">
        <f aca="false">F155/100</f>
        <v>0.99</v>
      </c>
    </row>
    <row r="156" customFormat="false" ht="15" hidden="false" customHeight="false" outlineLevel="0" collapsed="false">
      <c r="A156" s="2" t="s">
        <v>43</v>
      </c>
      <c r="B156" s="2" t="n">
        <v>1</v>
      </c>
      <c r="C156" s="2" t="s">
        <v>94</v>
      </c>
      <c r="D156" s="2" t="n">
        <v>1024</v>
      </c>
      <c r="E156" s="2" t="n">
        <v>4096</v>
      </c>
      <c r="F156" s="2" t="n">
        <v>0</v>
      </c>
      <c r="G156" s="8" t="n">
        <f aca="false">D156/E156</f>
        <v>0.25</v>
      </c>
      <c r="H156" s="8" t="n">
        <f aca="false">F156/100</f>
        <v>0</v>
      </c>
    </row>
    <row r="157" customFormat="false" ht="15" hidden="false" customHeight="false" outlineLevel="0" collapsed="false">
      <c r="A157" s="2" t="s">
        <v>43</v>
      </c>
      <c r="B157" s="2" t="n">
        <v>1</v>
      </c>
      <c r="C157" s="2" t="s">
        <v>97</v>
      </c>
      <c r="D157" s="2" t="n">
        <v>352</v>
      </c>
      <c r="E157" s="2" t="n">
        <v>2048</v>
      </c>
      <c r="F157" s="2" t="n">
        <v>0</v>
      </c>
      <c r="G157" s="8" t="n">
        <f aca="false">D157/E157</f>
        <v>0.171875</v>
      </c>
      <c r="H157" s="8" t="n">
        <f aca="false">F157/100</f>
        <v>0</v>
      </c>
    </row>
    <row r="158" customFormat="false" ht="15" hidden="false" customHeight="false" outlineLevel="0" collapsed="false">
      <c r="A158" s="2" t="s">
        <v>43</v>
      </c>
      <c r="B158" s="2" t="n">
        <v>2</v>
      </c>
      <c r="C158" s="2" t="s">
        <v>96</v>
      </c>
      <c r="D158" s="2" t="n">
        <v>256</v>
      </c>
      <c r="E158" s="2" t="n">
        <v>1024</v>
      </c>
      <c r="F158" s="2" t="n">
        <v>0</v>
      </c>
      <c r="G158" s="8" t="n">
        <f aca="false">D158/E158</f>
        <v>0.25</v>
      </c>
      <c r="H158" s="8" t="n">
        <f aca="false">F158/100</f>
        <v>0</v>
      </c>
    </row>
    <row r="159" customFormat="false" ht="15" hidden="false" customHeight="false" outlineLevel="0" collapsed="false">
      <c r="A159" s="2" t="s">
        <v>43</v>
      </c>
      <c r="B159" s="2" t="n">
        <v>2</v>
      </c>
      <c r="C159" s="2" t="s">
        <v>93</v>
      </c>
      <c r="D159" s="2" t="n">
        <v>208</v>
      </c>
      <c r="E159" s="2" t="n">
        <v>1024</v>
      </c>
      <c r="F159" s="2" t="n">
        <v>99</v>
      </c>
      <c r="G159" s="8" t="n">
        <f aca="false">D159/E159</f>
        <v>0.203125</v>
      </c>
      <c r="H159" s="8" t="n">
        <f aca="false">F159/100</f>
        <v>0.99</v>
      </c>
    </row>
    <row r="160" customFormat="false" ht="15" hidden="false" customHeight="false" outlineLevel="0" collapsed="false">
      <c r="A160" s="2" t="s">
        <v>43</v>
      </c>
      <c r="B160" s="2" t="n">
        <v>2</v>
      </c>
      <c r="C160" s="2" t="s">
        <v>94</v>
      </c>
      <c r="D160" s="2" t="n">
        <v>1024</v>
      </c>
      <c r="E160" s="2" t="n">
        <v>4096</v>
      </c>
      <c r="F160" s="2" t="n">
        <v>0</v>
      </c>
      <c r="G160" s="8" t="n">
        <f aca="false">D160/E160</f>
        <v>0.25</v>
      </c>
      <c r="H160" s="8" t="n">
        <f aca="false">F160/100</f>
        <v>0</v>
      </c>
    </row>
    <row r="161" customFormat="false" ht="15" hidden="false" customHeight="false" outlineLevel="0" collapsed="false">
      <c r="A161" s="2" t="s">
        <v>43</v>
      </c>
      <c r="B161" s="2" t="n">
        <v>2</v>
      </c>
      <c r="C161" s="2" t="s">
        <v>97</v>
      </c>
      <c r="D161" s="2" t="n">
        <v>352</v>
      </c>
      <c r="E161" s="2" t="n">
        <v>2048</v>
      </c>
      <c r="F161" s="2" t="n">
        <v>0</v>
      </c>
      <c r="G161" s="8" t="n">
        <f aca="false">D161/E161</f>
        <v>0.171875</v>
      </c>
      <c r="H161" s="8" t="n">
        <f aca="false">F161/100</f>
        <v>0</v>
      </c>
    </row>
    <row r="162" customFormat="false" ht="15" hidden="false" customHeight="false" outlineLevel="0" collapsed="false">
      <c r="A162" s="2" t="s">
        <v>43</v>
      </c>
      <c r="B162" s="2" t="n">
        <v>3</v>
      </c>
      <c r="C162" s="2" t="s">
        <v>96</v>
      </c>
      <c r="D162" s="2" t="n">
        <v>256</v>
      </c>
      <c r="E162" s="2" t="n">
        <v>1024</v>
      </c>
      <c r="F162" s="2" t="n">
        <v>0</v>
      </c>
      <c r="G162" s="8" t="n">
        <f aca="false">D162/E162</f>
        <v>0.25</v>
      </c>
      <c r="H162" s="8" t="n">
        <f aca="false">F162/100</f>
        <v>0</v>
      </c>
    </row>
    <row r="163" customFormat="false" ht="15" hidden="false" customHeight="false" outlineLevel="0" collapsed="false">
      <c r="A163" s="2" t="s">
        <v>43</v>
      </c>
      <c r="B163" s="2" t="n">
        <v>3</v>
      </c>
      <c r="C163" s="2" t="s">
        <v>93</v>
      </c>
      <c r="D163" s="2" t="n">
        <v>208</v>
      </c>
      <c r="E163" s="2" t="n">
        <v>1024</v>
      </c>
      <c r="F163" s="2" t="n">
        <v>99</v>
      </c>
      <c r="G163" s="8" t="n">
        <f aca="false">D163/E163</f>
        <v>0.203125</v>
      </c>
      <c r="H163" s="8" t="n">
        <f aca="false">F163/100</f>
        <v>0.99</v>
      </c>
    </row>
    <row r="164" customFormat="false" ht="15" hidden="false" customHeight="false" outlineLevel="0" collapsed="false">
      <c r="A164" s="2" t="s">
        <v>43</v>
      </c>
      <c r="B164" s="2" t="n">
        <v>3</v>
      </c>
      <c r="C164" s="2" t="s">
        <v>94</v>
      </c>
      <c r="D164" s="2" t="n">
        <v>1024</v>
      </c>
      <c r="E164" s="2" t="n">
        <v>4096</v>
      </c>
      <c r="F164" s="2" t="n">
        <v>0</v>
      </c>
      <c r="G164" s="8" t="n">
        <f aca="false">D164/E164</f>
        <v>0.25</v>
      </c>
      <c r="H164" s="8" t="n">
        <f aca="false">F164/100</f>
        <v>0</v>
      </c>
    </row>
    <row r="165" customFormat="false" ht="15" hidden="false" customHeight="false" outlineLevel="0" collapsed="false">
      <c r="A165" s="2" t="s">
        <v>43</v>
      </c>
      <c r="B165" s="2" t="n">
        <v>3</v>
      </c>
      <c r="C165" s="2" t="s">
        <v>97</v>
      </c>
      <c r="D165" s="2" t="n">
        <v>352</v>
      </c>
      <c r="E165" s="2" t="n">
        <v>2048</v>
      </c>
      <c r="F165" s="2" t="n">
        <v>0</v>
      </c>
      <c r="G165" s="8" t="n">
        <f aca="false">D165/E165</f>
        <v>0.171875</v>
      </c>
      <c r="H165" s="8" t="n">
        <f aca="false">F165/100</f>
        <v>0</v>
      </c>
    </row>
    <row r="166" customFormat="false" ht="15" hidden="false" customHeight="false" outlineLevel="0" collapsed="false">
      <c r="A166" s="2" t="s">
        <v>44</v>
      </c>
      <c r="B166" s="2" t="n">
        <v>1</v>
      </c>
      <c r="C166" s="2" t="s">
        <v>96</v>
      </c>
      <c r="D166" s="2" t="n">
        <v>256</v>
      </c>
      <c r="E166" s="2" t="n">
        <v>1024</v>
      </c>
      <c r="F166" s="2" t="n">
        <v>0</v>
      </c>
      <c r="G166" s="8" t="n">
        <f aca="false">D166/E166</f>
        <v>0.25</v>
      </c>
      <c r="H166" s="8" t="n">
        <f aca="false">F166/100</f>
        <v>0</v>
      </c>
    </row>
    <row r="167" customFormat="false" ht="15" hidden="false" customHeight="false" outlineLevel="0" collapsed="false">
      <c r="A167" s="2" t="s">
        <v>44</v>
      </c>
      <c r="B167" s="2" t="n">
        <v>1</v>
      </c>
      <c r="C167" s="2" t="s">
        <v>93</v>
      </c>
      <c r="D167" s="2" t="n">
        <v>208</v>
      </c>
      <c r="E167" s="2" t="n">
        <v>1024</v>
      </c>
      <c r="F167" s="2" t="n">
        <v>99</v>
      </c>
      <c r="G167" s="8" t="n">
        <f aca="false">D167/E167</f>
        <v>0.203125</v>
      </c>
      <c r="H167" s="8" t="n">
        <f aca="false">F167/100</f>
        <v>0.99</v>
      </c>
    </row>
    <row r="168" customFormat="false" ht="15" hidden="false" customHeight="false" outlineLevel="0" collapsed="false">
      <c r="A168" s="2" t="s">
        <v>44</v>
      </c>
      <c r="B168" s="2" t="n">
        <v>1</v>
      </c>
      <c r="C168" s="2" t="s">
        <v>94</v>
      </c>
      <c r="D168" s="2" t="n">
        <v>1024</v>
      </c>
      <c r="E168" s="2" t="n">
        <v>4096</v>
      </c>
      <c r="F168" s="2" t="n">
        <v>0</v>
      </c>
      <c r="G168" s="8" t="n">
        <f aca="false">D168/E168</f>
        <v>0.25</v>
      </c>
      <c r="H168" s="8" t="n">
        <f aca="false">F168/100</f>
        <v>0</v>
      </c>
    </row>
    <row r="169" customFormat="false" ht="15" hidden="false" customHeight="false" outlineLevel="0" collapsed="false">
      <c r="A169" s="2" t="s">
        <v>44</v>
      </c>
      <c r="B169" s="2" t="n">
        <v>1</v>
      </c>
      <c r="C169" s="2" t="s">
        <v>97</v>
      </c>
      <c r="D169" s="2" t="n">
        <v>352</v>
      </c>
      <c r="E169" s="2" t="n">
        <v>2048</v>
      </c>
      <c r="F169" s="2" t="n">
        <v>0</v>
      </c>
      <c r="G169" s="8" t="n">
        <f aca="false">D169/E169</f>
        <v>0.171875</v>
      </c>
      <c r="H169" s="8" t="n">
        <f aca="false">F169/100</f>
        <v>0</v>
      </c>
    </row>
    <row r="170" customFormat="false" ht="15" hidden="false" customHeight="false" outlineLevel="0" collapsed="false">
      <c r="A170" s="2" t="s">
        <v>44</v>
      </c>
      <c r="B170" s="2" t="n">
        <v>2</v>
      </c>
      <c r="C170" s="2" t="s">
        <v>96</v>
      </c>
      <c r="D170" s="2" t="n">
        <v>256</v>
      </c>
      <c r="E170" s="2" t="n">
        <v>1024</v>
      </c>
      <c r="F170" s="2" t="n">
        <v>0</v>
      </c>
      <c r="G170" s="8" t="n">
        <f aca="false">D170/E170</f>
        <v>0.25</v>
      </c>
      <c r="H170" s="8" t="n">
        <f aca="false">F170/100</f>
        <v>0</v>
      </c>
    </row>
    <row r="171" customFormat="false" ht="15" hidden="false" customHeight="false" outlineLevel="0" collapsed="false">
      <c r="A171" s="2" t="s">
        <v>44</v>
      </c>
      <c r="B171" s="2" t="n">
        <v>2</v>
      </c>
      <c r="C171" s="2" t="s">
        <v>93</v>
      </c>
      <c r="D171" s="2" t="n">
        <v>208</v>
      </c>
      <c r="E171" s="2" t="n">
        <v>1024</v>
      </c>
      <c r="F171" s="2" t="n">
        <v>99</v>
      </c>
      <c r="G171" s="8" t="n">
        <f aca="false">D171/E171</f>
        <v>0.203125</v>
      </c>
      <c r="H171" s="8" t="n">
        <f aca="false">F171/100</f>
        <v>0.99</v>
      </c>
    </row>
    <row r="172" customFormat="false" ht="15" hidden="false" customHeight="false" outlineLevel="0" collapsed="false">
      <c r="A172" s="2" t="s">
        <v>44</v>
      </c>
      <c r="B172" s="2" t="n">
        <v>2</v>
      </c>
      <c r="C172" s="2" t="s">
        <v>94</v>
      </c>
      <c r="D172" s="2" t="n">
        <v>1024</v>
      </c>
      <c r="E172" s="2" t="n">
        <v>4096</v>
      </c>
      <c r="F172" s="2" t="n">
        <v>0</v>
      </c>
      <c r="G172" s="8" t="n">
        <f aca="false">D172/E172</f>
        <v>0.25</v>
      </c>
      <c r="H172" s="8" t="n">
        <f aca="false">F172/100</f>
        <v>0</v>
      </c>
    </row>
    <row r="173" customFormat="false" ht="15" hidden="false" customHeight="false" outlineLevel="0" collapsed="false">
      <c r="A173" s="2" t="s">
        <v>44</v>
      </c>
      <c r="B173" s="2" t="n">
        <v>2</v>
      </c>
      <c r="C173" s="2" t="s">
        <v>97</v>
      </c>
      <c r="D173" s="2" t="n">
        <v>352</v>
      </c>
      <c r="E173" s="2" t="n">
        <v>2048</v>
      </c>
      <c r="F173" s="2" t="n">
        <v>0</v>
      </c>
      <c r="G173" s="8" t="n">
        <f aca="false">D173/E173</f>
        <v>0.171875</v>
      </c>
      <c r="H173" s="8" t="n">
        <f aca="false">F173/100</f>
        <v>0</v>
      </c>
    </row>
    <row r="174" customFormat="false" ht="15" hidden="false" customHeight="false" outlineLevel="0" collapsed="false">
      <c r="A174" s="2" t="s">
        <v>44</v>
      </c>
      <c r="B174" s="2" t="n">
        <v>3</v>
      </c>
      <c r="C174" s="2" t="s">
        <v>96</v>
      </c>
      <c r="D174" s="2" t="n">
        <v>256</v>
      </c>
      <c r="E174" s="2" t="n">
        <v>1024</v>
      </c>
      <c r="F174" s="2" t="n">
        <v>0</v>
      </c>
      <c r="G174" s="8" t="n">
        <f aca="false">D174/E174</f>
        <v>0.25</v>
      </c>
      <c r="H174" s="8" t="n">
        <f aca="false">F174/100</f>
        <v>0</v>
      </c>
    </row>
    <row r="175" customFormat="false" ht="15" hidden="false" customHeight="false" outlineLevel="0" collapsed="false">
      <c r="A175" s="2" t="s">
        <v>44</v>
      </c>
      <c r="B175" s="2" t="n">
        <v>3</v>
      </c>
      <c r="C175" s="2" t="s">
        <v>93</v>
      </c>
      <c r="D175" s="2" t="n">
        <v>208</v>
      </c>
      <c r="E175" s="2" t="n">
        <v>1024</v>
      </c>
      <c r="F175" s="2" t="n">
        <v>99</v>
      </c>
      <c r="G175" s="8" t="n">
        <f aca="false">D175/E175</f>
        <v>0.203125</v>
      </c>
      <c r="H175" s="8" t="n">
        <f aca="false">F175/100</f>
        <v>0.99</v>
      </c>
    </row>
    <row r="176" customFormat="false" ht="15" hidden="false" customHeight="false" outlineLevel="0" collapsed="false">
      <c r="A176" s="2" t="s">
        <v>44</v>
      </c>
      <c r="B176" s="2" t="n">
        <v>3</v>
      </c>
      <c r="C176" s="2" t="s">
        <v>94</v>
      </c>
      <c r="D176" s="2" t="n">
        <v>1024</v>
      </c>
      <c r="E176" s="2" t="n">
        <v>4096</v>
      </c>
      <c r="F176" s="2" t="n">
        <v>0</v>
      </c>
      <c r="G176" s="8" t="n">
        <f aca="false">D176/E176</f>
        <v>0.25</v>
      </c>
      <c r="H176" s="8" t="n">
        <f aca="false">F176/100</f>
        <v>0</v>
      </c>
    </row>
    <row r="177" customFormat="false" ht="15" hidden="false" customHeight="false" outlineLevel="0" collapsed="false">
      <c r="A177" s="2" t="s">
        <v>44</v>
      </c>
      <c r="B177" s="2" t="n">
        <v>3</v>
      </c>
      <c r="C177" s="2" t="s">
        <v>97</v>
      </c>
      <c r="D177" s="2" t="n">
        <v>352</v>
      </c>
      <c r="E177" s="2" t="n">
        <v>2048</v>
      </c>
      <c r="F177" s="2" t="n">
        <v>0</v>
      </c>
      <c r="G177" s="8" t="n">
        <f aca="false">D177/E177</f>
        <v>0.171875</v>
      </c>
      <c r="H177" s="8" t="n">
        <f aca="false">F177/100</f>
        <v>0</v>
      </c>
    </row>
    <row r="178" customFormat="false" ht="15" hidden="false" customHeight="false" outlineLevel="0" collapsed="false">
      <c r="A178" s="2" t="s">
        <v>45</v>
      </c>
      <c r="B178" s="2" t="n">
        <v>1</v>
      </c>
      <c r="C178" s="2" t="s">
        <v>96</v>
      </c>
      <c r="D178" s="2" t="n">
        <v>256</v>
      </c>
      <c r="E178" s="2" t="n">
        <v>1024</v>
      </c>
      <c r="F178" s="2" t="n">
        <v>0</v>
      </c>
      <c r="G178" s="8" t="n">
        <f aca="false">D178/E178</f>
        <v>0.25</v>
      </c>
      <c r="H178" s="8" t="n">
        <f aca="false">F178/100</f>
        <v>0</v>
      </c>
    </row>
    <row r="179" customFormat="false" ht="15" hidden="false" customHeight="false" outlineLevel="0" collapsed="false">
      <c r="A179" s="2" t="s">
        <v>45</v>
      </c>
      <c r="B179" s="2" t="n">
        <v>1</v>
      </c>
      <c r="C179" s="2" t="s">
        <v>93</v>
      </c>
      <c r="D179" s="2" t="n">
        <v>208</v>
      </c>
      <c r="E179" s="2" t="n">
        <v>1024</v>
      </c>
      <c r="F179" s="2" t="n">
        <v>99</v>
      </c>
      <c r="G179" s="8" t="n">
        <f aca="false">D179/E179</f>
        <v>0.203125</v>
      </c>
      <c r="H179" s="8" t="n">
        <f aca="false">F179/100</f>
        <v>0.99</v>
      </c>
    </row>
    <row r="180" customFormat="false" ht="15" hidden="false" customHeight="false" outlineLevel="0" collapsed="false">
      <c r="A180" s="2" t="s">
        <v>45</v>
      </c>
      <c r="B180" s="2" t="n">
        <v>1</v>
      </c>
      <c r="C180" s="2" t="s">
        <v>94</v>
      </c>
      <c r="D180" s="2" t="n">
        <v>1024</v>
      </c>
      <c r="E180" s="2" t="n">
        <v>4096</v>
      </c>
      <c r="F180" s="2" t="n">
        <v>0</v>
      </c>
      <c r="G180" s="8" t="n">
        <f aca="false">D180/E180</f>
        <v>0.25</v>
      </c>
      <c r="H180" s="8" t="n">
        <f aca="false">F180/100</f>
        <v>0</v>
      </c>
    </row>
    <row r="181" customFormat="false" ht="15" hidden="false" customHeight="false" outlineLevel="0" collapsed="false">
      <c r="A181" s="2" t="s">
        <v>45</v>
      </c>
      <c r="B181" s="2" t="n">
        <v>1</v>
      </c>
      <c r="C181" s="2" t="s">
        <v>97</v>
      </c>
      <c r="D181" s="2" t="n">
        <v>352</v>
      </c>
      <c r="E181" s="2" t="n">
        <v>2048</v>
      </c>
      <c r="F181" s="2" t="n">
        <v>0</v>
      </c>
      <c r="G181" s="8" t="n">
        <f aca="false">D181/E181</f>
        <v>0.171875</v>
      </c>
      <c r="H181" s="8" t="n">
        <f aca="false">F181/100</f>
        <v>0</v>
      </c>
    </row>
    <row r="182" customFormat="false" ht="15" hidden="false" customHeight="false" outlineLevel="0" collapsed="false">
      <c r="A182" s="2" t="s">
        <v>45</v>
      </c>
      <c r="B182" s="2" t="n">
        <v>2</v>
      </c>
      <c r="C182" s="2" t="s">
        <v>96</v>
      </c>
      <c r="D182" s="2" t="n">
        <v>256</v>
      </c>
      <c r="E182" s="2" t="n">
        <v>1024</v>
      </c>
      <c r="F182" s="2" t="n">
        <v>0</v>
      </c>
      <c r="G182" s="8" t="n">
        <f aca="false">D182/E182</f>
        <v>0.25</v>
      </c>
      <c r="H182" s="8" t="n">
        <f aca="false">F182/100</f>
        <v>0</v>
      </c>
    </row>
    <row r="183" customFormat="false" ht="15" hidden="false" customHeight="false" outlineLevel="0" collapsed="false">
      <c r="A183" s="2" t="s">
        <v>45</v>
      </c>
      <c r="B183" s="2" t="n">
        <v>2</v>
      </c>
      <c r="C183" s="2" t="s">
        <v>93</v>
      </c>
      <c r="D183" s="2" t="n">
        <v>208</v>
      </c>
      <c r="E183" s="2" t="n">
        <v>1024</v>
      </c>
      <c r="F183" s="2" t="n">
        <v>99</v>
      </c>
      <c r="G183" s="8" t="n">
        <f aca="false">D183/E183</f>
        <v>0.203125</v>
      </c>
      <c r="H183" s="8" t="n">
        <f aca="false">F183/100</f>
        <v>0.99</v>
      </c>
    </row>
    <row r="184" customFormat="false" ht="15" hidden="false" customHeight="false" outlineLevel="0" collapsed="false">
      <c r="A184" s="2" t="s">
        <v>45</v>
      </c>
      <c r="B184" s="2" t="n">
        <v>2</v>
      </c>
      <c r="C184" s="2" t="s">
        <v>94</v>
      </c>
      <c r="D184" s="2" t="n">
        <v>1024</v>
      </c>
      <c r="E184" s="2" t="n">
        <v>4096</v>
      </c>
      <c r="F184" s="2" t="n">
        <v>0</v>
      </c>
      <c r="G184" s="8" t="n">
        <f aca="false">D184/E184</f>
        <v>0.25</v>
      </c>
      <c r="H184" s="8" t="n">
        <f aca="false">F184/100</f>
        <v>0</v>
      </c>
    </row>
    <row r="185" customFormat="false" ht="15" hidden="false" customHeight="false" outlineLevel="0" collapsed="false">
      <c r="A185" s="2" t="s">
        <v>45</v>
      </c>
      <c r="B185" s="2" t="n">
        <v>2</v>
      </c>
      <c r="C185" s="2" t="s">
        <v>97</v>
      </c>
      <c r="D185" s="2" t="n">
        <v>352</v>
      </c>
      <c r="E185" s="2" t="n">
        <v>2048</v>
      </c>
      <c r="F185" s="2" t="n">
        <v>0</v>
      </c>
      <c r="G185" s="8" t="n">
        <f aca="false">D185/E185</f>
        <v>0.171875</v>
      </c>
      <c r="H185" s="8" t="n">
        <f aca="false">F185/100</f>
        <v>0</v>
      </c>
    </row>
    <row r="186" customFormat="false" ht="15" hidden="false" customHeight="false" outlineLevel="0" collapsed="false">
      <c r="A186" s="2" t="s">
        <v>45</v>
      </c>
      <c r="B186" s="2" t="n">
        <v>3</v>
      </c>
      <c r="C186" s="2" t="s">
        <v>96</v>
      </c>
      <c r="D186" s="2" t="n">
        <v>256</v>
      </c>
      <c r="E186" s="2" t="n">
        <v>1024</v>
      </c>
      <c r="F186" s="2" t="n">
        <v>0</v>
      </c>
      <c r="G186" s="8" t="n">
        <f aca="false">D186/E186</f>
        <v>0.25</v>
      </c>
      <c r="H186" s="8" t="n">
        <f aca="false">F186/100</f>
        <v>0</v>
      </c>
    </row>
    <row r="187" customFormat="false" ht="15" hidden="false" customHeight="false" outlineLevel="0" collapsed="false">
      <c r="A187" s="2" t="s">
        <v>45</v>
      </c>
      <c r="B187" s="2" t="n">
        <v>3</v>
      </c>
      <c r="C187" s="2" t="s">
        <v>93</v>
      </c>
      <c r="D187" s="2" t="n">
        <v>208</v>
      </c>
      <c r="E187" s="2" t="n">
        <v>1024</v>
      </c>
      <c r="F187" s="2" t="n">
        <v>99</v>
      </c>
      <c r="G187" s="8" t="n">
        <f aca="false">D187/E187</f>
        <v>0.203125</v>
      </c>
      <c r="H187" s="8" t="n">
        <f aca="false">F187/100</f>
        <v>0.99</v>
      </c>
    </row>
    <row r="188" customFormat="false" ht="15" hidden="false" customHeight="false" outlineLevel="0" collapsed="false">
      <c r="A188" s="2" t="s">
        <v>45</v>
      </c>
      <c r="B188" s="2" t="n">
        <v>3</v>
      </c>
      <c r="C188" s="2" t="s">
        <v>94</v>
      </c>
      <c r="D188" s="2" t="n">
        <v>1024</v>
      </c>
      <c r="E188" s="2" t="n">
        <v>4096</v>
      </c>
      <c r="F188" s="2" t="n">
        <v>0</v>
      </c>
      <c r="G188" s="8" t="n">
        <f aca="false">D188/E188</f>
        <v>0.25</v>
      </c>
      <c r="H188" s="8" t="n">
        <f aca="false">F188/100</f>
        <v>0</v>
      </c>
    </row>
    <row r="189" customFormat="false" ht="15" hidden="false" customHeight="false" outlineLevel="0" collapsed="false">
      <c r="A189" s="2" t="s">
        <v>45</v>
      </c>
      <c r="B189" s="2" t="n">
        <v>3</v>
      </c>
      <c r="C189" s="2" t="s">
        <v>97</v>
      </c>
      <c r="D189" s="2" t="n">
        <v>352</v>
      </c>
      <c r="E189" s="2" t="n">
        <v>2048</v>
      </c>
      <c r="F189" s="2" t="n">
        <v>0</v>
      </c>
      <c r="G189" s="8" t="n">
        <f aca="false">D189/E189</f>
        <v>0.171875</v>
      </c>
      <c r="H189" s="8" t="n">
        <f aca="false">F189/100</f>
        <v>0</v>
      </c>
    </row>
    <row r="190" customFormat="false" ht="15" hidden="false" customHeight="false" outlineLevel="0" collapsed="false">
      <c r="A190" s="2" t="s">
        <v>46</v>
      </c>
      <c r="B190" s="2" t="n">
        <v>1</v>
      </c>
      <c r="C190" s="2" t="s">
        <v>92</v>
      </c>
      <c r="D190" s="2" t="n">
        <v>288</v>
      </c>
      <c r="E190" s="2" t="n">
        <v>1024</v>
      </c>
      <c r="F190" s="2" t="n">
        <v>0</v>
      </c>
      <c r="G190" s="8" t="n">
        <f aca="false">D190/E190</f>
        <v>0.28125</v>
      </c>
      <c r="H190" s="8" t="n">
        <f aca="false">F190/100</f>
        <v>0</v>
      </c>
    </row>
    <row r="191" customFormat="false" ht="15" hidden="false" customHeight="false" outlineLevel="0" collapsed="false">
      <c r="A191" s="2" t="s">
        <v>46</v>
      </c>
      <c r="B191" s="2" t="n">
        <v>1</v>
      </c>
      <c r="C191" s="2" t="s">
        <v>93</v>
      </c>
      <c r="D191" s="2" t="n">
        <v>208</v>
      </c>
      <c r="E191" s="2" t="n">
        <v>1024</v>
      </c>
      <c r="F191" s="2" t="n">
        <v>99</v>
      </c>
      <c r="G191" s="8" t="n">
        <f aca="false">D191/E191</f>
        <v>0.203125</v>
      </c>
      <c r="H191" s="8" t="n">
        <f aca="false">F191/100</f>
        <v>0.99</v>
      </c>
    </row>
    <row r="192" customFormat="false" ht="15" hidden="false" customHeight="false" outlineLevel="0" collapsed="false">
      <c r="A192" s="2" t="s">
        <v>46</v>
      </c>
      <c r="B192" s="2" t="n">
        <v>1</v>
      </c>
      <c r="C192" s="2" t="s">
        <v>94</v>
      </c>
      <c r="D192" s="2" t="n">
        <v>1024</v>
      </c>
      <c r="E192" s="2" t="n">
        <v>4096</v>
      </c>
      <c r="F192" s="2" t="n">
        <v>0</v>
      </c>
      <c r="G192" s="8" t="n">
        <f aca="false">D192/E192</f>
        <v>0.25</v>
      </c>
      <c r="H192" s="8" t="n">
        <f aca="false">F192/100</f>
        <v>0</v>
      </c>
    </row>
    <row r="193" customFormat="false" ht="15" hidden="false" customHeight="false" outlineLevel="0" collapsed="false">
      <c r="A193" s="2" t="s">
        <v>46</v>
      </c>
      <c r="B193" s="2" t="n">
        <v>1</v>
      </c>
      <c r="C193" s="2" t="s">
        <v>97</v>
      </c>
      <c r="D193" s="2" t="n">
        <v>368</v>
      </c>
      <c r="E193" s="2" t="n">
        <v>2048</v>
      </c>
      <c r="F193" s="2" t="n">
        <v>0</v>
      </c>
      <c r="G193" s="8" t="n">
        <f aca="false">D193/E193</f>
        <v>0.1796875</v>
      </c>
      <c r="H193" s="8" t="n">
        <f aca="false">F193/100</f>
        <v>0</v>
      </c>
    </row>
    <row r="194" customFormat="false" ht="15" hidden="false" customHeight="false" outlineLevel="0" collapsed="false">
      <c r="A194" s="2" t="s">
        <v>47</v>
      </c>
      <c r="B194" s="2" t="n">
        <v>1</v>
      </c>
      <c r="C194" s="2" t="s">
        <v>92</v>
      </c>
      <c r="D194" s="2" t="n">
        <v>288</v>
      </c>
      <c r="E194" s="2" t="n">
        <v>1024</v>
      </c>
      <c r="F194" s="2" t="n">
        <v>9</v>
      </c>
      <c r="G194" s="8" t="n">
        <f aca="false">D194/E194</f>
        <v>0.28125</v>
      </c>
      <c r="H194" s="8" t="n">
        <f aca="false">F194/100</f>
        <v>0.09</v>
      </c>
    </row>
    <row r="195" customFormat="false" ht="15" hidden="false" customHeight="false" outlineLevel="0" collapsed="false">
      <c r="A195" s="2" t="s">
        <v>47</v>
      </c>
      <c r="B195" s="2" t="n">
        <v>1</v>
      </c>
      <c r="C195" s="2" t="s">
        <v>93</v>
      </c>
      <c r="D195" s="2" t="n">
        <v>208</v>
      </c>
      <c r="E195" s="2" t="n">
        <v>1024</v>
      </c>
      <c r="F195" s="2" t="n">
        <v>90</v>
      </c>
      <c r="G195" s="8" t="n">
        <f aca="false">D195/E195</f>
        <v>0.203125</v>
      </c>
      <c r="H195" s="8" t="n">
        <f aca="false">F195/100</f>
        <v>0.9</v>
      </c>
    </row>
    <row r="196" customFormat="false" ht="15" hidden="false" customHeight="false" outlineLevel="0" collapsed="false">
      <c r="A196" s="2" t="s">
        <v>47</v>
      </c>
      <c r="B196" s="2" t="n">
        <v>1</v>
      </c>
      <c r="C196" s="2" t="s">
        <v>94</v>
      </c>
      <c r="D196" s="2" t="n">
        <v>1024</v>
      </c>
      <c r="E196" s="2" t="n">
        <v>4096</v>
      </c>
      <c r="F196" s="2" t="n">
        <v>0</v>
      </c>
      <c r="G196" s="8" t="n">
        <f aca="false">D196/E196</f>
        <v>0.25</v>
      </c>
      <c r="H196" s="8" t="n">
        <f aca="false">F196/100</f>
        <v>0</v>
      </c>
    </row>
    <row r="197" customFormat="false" ht="15" hidden="false" customHeight="false" outlineLevel="0" collapsed="false">
      <c r="A197" s="2" t="s">
        <v>47</v>
      </c>
      <c r="B197" s="2" t="n">
        <v>1</v>
      </c>
      <c r="C197" s="2" t="s">
        <v>97</v>
      </c>
      <c r="D197" s="2" t="n">
        <v>368</v>
      </c>
      <c r="E197" s="2" t="n">
        <v>2048</v>
      </c>
      <c r="F197" s="2" t="n">
        <v>0</v>
      </c>
      <c r="G197" s="8" t="n">
        <f aca="false">D197/E197</f>
        <v>0.1796875</v>
      </c>
      <c r="H197" s="8" t="n">
        <f aca="false">F197/100</f>
        <v>0</v>
      </c>
    </row>
    <row r="198" customFormat="false" ht="15" hidden="false" customHeight="false" outlineLevel="0" collapsed="false">
      <c r="A198" s="2" t="s">
        <v>48</v>
      </c>
      <c r="B198" s="2" t="n">
        <v>1</v>
      </c>
      <c r="C198" s="2" t="s">
        <v>92</v>
      </c>
      <c r="D198" s="2" t="n">
        <v>288</v>
      </c>
      <c r="E198" s="2" t="n">
        <v>1024</v>
      </c>
      <c r="F198" s="2" t="n">
        <v>0</v>
      </c>
      <c r="G198" s="8" t="n">
        <f aca="false">D198/E198</f>
        <v>0.28125</v>
      </c>
      <c r="H198" s="8" t="n">
        <f aca="false">F198/100</f>
        <v>0</v>
      </c>
    </row>
    <row r="199" customFormat="false" ht="15" hidden="false" customHeight="false" outlineLevel="0" collapsed="false">
      <c r="A199" s="2" t="s">
        <v>48</v>
      </c>
      <c r="B199" s="2" t="n">
        <v>1</v>
      </c>
      <c r="C199" s="2" t="s">
        <v>93</v>
      </c>
      <c r="D199" s="2" t="n">
        <v>208</v>
      </c>
      <c r="E199" s="2" t="n">
        <v>1024</v>
      </c>
      <c r="F199" s="2" t="n">
        <v>98</v>
      </c>
      <c r="G199" s="8" t="n">
        <f aca="false">D199/E199</f>
        <v>0.203125</v>
      </c>
      <c r="H199" s="8" t="n">
        <f aca="false">F199/100</f>
        <v>0.98</v>
      </c>
    </row>
    <row r="200" customFormat="false" ht="15" hidden="false" customHeight="false" outlineLevel="0" collapsed="false">
      <c r="A200" s="2" t="s">
        <v>48</v>
      </c>
      <c r="B200" s="2" t="n">
        <v>1</v>
      </c>
      <c r="C200" s="2" t="s">
        <v>94</v>
      </c>
      <c r="D200" s="2" t="n">
        <v>1024</v>
      </c>
      <c r="E200" s="2" t="n">
        <v>4096</v>
      </c>
      <c r="F200" s="2" t="n">
        <v>0</v>
      </c>
      <c r="G200" s="8" t="n">
        <f aca="false">D200/E200</f>
        <v>0.25</v>
      </c>
      <c r="H200" s="8" t="n">
        <f aca="false">F200/100</f>
        <v>0</v>
      </c>
    </row>
    <row r="201" customFormat="false" ht="15" hidden="false" customHeight="false" outlineLevel="0" collapsed="false">
      <c r="A201" s="2" t="s">
        <v>48</v>
      </c>
      <c r="B201" s="2" t="n">
        <v>1</v>
      </c>
      <c r="C201" s="2" t="s">
        <v>97</v>
      </c>
      <c r="D201" s="2" t="n">
        <v>368</v>
      </c>
      <c r="E201" s="2" t="n">
        <v>2048</v>
      </c>
      <c r="F201" s="2" t="n">
        <v>0</v>
      </c>
      <c r="G201" s="8" t="n">
        <f aca="false">D201/E201</f>
        <v>0.1796875</v>
      </c>
      <c r="H201" s="8" t="n">
        <f aca="false">F201/100</f>
        <v>0</v>
      </c>
    </row>
    <row r="202" customFormat="false" ht="15" hidden="false" customHeight="false" outlineLevel="0" collapsed="false">
      <c r="A202" s="2" t="s">
        <v>49</v>
      </c>
      <c r="B202" s="2" t="n">
        <v>1</v>
      </c>
      <c r="C202" s="2" t="s">
        <v>92</v>
      </c>
      <c r="D202" s="2" t="n">
        <v>288</v>
      </c>
      <c r="E202" s="2" t="n">
        <v>1024</v>
      </c>
      <c r="F202" s="2" t="n">
        <v>33</v>
      </c>
      <c r="G202" s="8" t="n">
        <f aca="false">D202/E202</f>
        <v>0.28125</v>
      </c>
      <c r="H202" s="8" t="n">
        <f aca="false">F202/100</f>
        <v>0.33</v>
      </c>
    </row>
    <row r="203" customFormat="false" ht="15" hidden="false" customHeight="false" outlineLevel="0" collapsed="false">
      <c r="A203" s="2" t="s">
        <v>49</v>
      </c>
      <c r="B203" s="2" t="n">
        <v>1</v>
      </c>
      <c r="C203" s="2" t="s">
        <v>93</v>
      </c>
      <c r="D203" s="2" t="n">
        <v>208</v>
      </c>
      <c r="E203" s="2" t="n">
        <v>1024</v>
      </c>
      <c r="F203" s="2" t="n">
        <v>66</v>
      </c>
      <c r="G203" s="8" t="n">
        <f aca="false">D203/E203</f>
        <v>0.203125</v>
      </c>
      <c r="H203" s="8" t="n">
        <f aca="false">F203/100</f>
        <v>0.66</v>
      </c>
    </row>
    <row r="204" customFormat="false" ht="15" hidden="false" customHeight="false" outlineLevel="0" collapsed="false">
      <c r="A204" s="2" t="s">
        <v>49</v>
      </c>
      <c r="B204" s="2" t="n">
        <v>1</v>
      </c>
      <c r="C204" s="2" t="s">
        <v>94</v>
      </c>
      <c r="D204" s="2" t="n">
        <v>1024</v>
      </c>
      <c r="E204" s="2" t="n">
        <v>4096</v>
      </c>
      <c r="F204" s="2" t="n">
        <v>0</v>
      </c>
      <c r="G204" s="8" t="n">
        <f aca="false">D204/E204</f>
        <v>0.25</v>
      </c>
      <c r="H204" s="8" t="n">
        <f aca="false">F204/100</f>
        <v>0</v>
      </c>
    </row>
    <row r="205" customFormat="false" ht="15" hidden="false" customHeight="false" outlineLevel="0" collapsed="false">
      <c r="A205" s="2" t="s">
        <v>49</v>
      </c>
      <c r="B205" s="2" t="n">
        <v>1</v>
      </c>
      <c r="C205" s="2" t="s">
        <v>97</v>
      </c>
      <c r="D205" s="2" t="n">
        <v>368</v>
      </c>
      <c r="E205" s="2" t="n">
        <v>2048</v>
      </c>
      <c r="F205" s="2" t="n">
        <v>0</v>
      </c>
      <c r="G205" s="8" t="n">
        <f aca="false">D205/E205</f>
        <v>0.1796875</v>
      </c>
      <c r="H205" s="8" t="n">
        <f aca="false">F205/100</f>
        <v>0</v>
      </c>
    </row>
    <row r="206" customFormat="false" ht="15" hidden="false" customHeight="false" outlineLevel="0" collapsed="false">
      <c r="A206" s="2" t="s">
        <v>50</v>
      </c>
      <c r="B206" s="2" t="n">
        <v>1</v>
      </c>
      <c r="C206" s="2" t="s">
        <v>99</v>
      </c>
      <c r="D206" s="2" t="n">
        <v>304</v>
      </c>
      <c r="E206" s="2" t="n">
        <v>1024</v>
      </c>
      <c r="F206" s="2" t="n">
        <v>0</v>
      </c>
      <c r="G206" s="8" t="n">
        <f aca="false">D206/E206</f>
        <v>0.296875</v>
      </c>
      <c r="H206" s="8" t="n">
        <f aca="false">F206/100</f>
        <v>0</v>
      </c>
    </row>
    <row r="207" customFormat="false" ht="15" hidden="false" customHeight="false" outlineLevel="0" collapsed="false">
      <c r="A207" s="2" t="s">
        <v>50</v>
      </c>
      <c r="B207" s="2" t="n">
        <v>1</v>
      </c>
      <c r="C207" s="2" t="s">
        <v>93</v>
      </c>
      <c r="D207" s="2" t="n">
        <v>208</v>
      </c>
      <c r="E207" s="2" t="n">
        <v>1024</v>
      </c>
      <c r="F207" s="2" t="n">
        <v>99</v>
      </c>
      <c r="G207" s="8" t="n">
        <f aca="false">D207/E207</f>
        <v>0.203125</v>
      </c>
      <c r="H207" s="8" t="n">
        <f aca="false">F207/100</f>
        <v>0.99</v>
      </c>
    </row>
    <row r="208" customFormat="false" ht="15" hidden="false" customHeight="false" outlineLevel="0" collapsed="false">
      <c r="A208" s="2" t="s">
        <v>50</v>
      </c>
      <c r="B208" s="2" t="n">
        <v>1</v>
      </c>
      <c r="C208" s="2" t="s">
        <v>94</v>
      </c>
      <c r="D208" s="2" t="n">
        <v>1024</v>
      </c>
      <c r="E208" s="2" t="n">
        <v>4096</v>
      </c>
      <c r="F208" s="2" t="n">
        <v>0</v>
      </c>
      <c r="G208" s="8" t="n">
        <f aca="false">D208/E208</f>
        <v>0.25</v>
      </c>
      <c r="H208" s="8" t="n">
        <f aca="false">F208/100</f>
        <v>0</v>
      </c>
    </row>
    <row r="209" customFormat="false" ht="15" hidden="false" customHeight="false" outlineLevel="0" collapsed="false">
      <c r="A209" s="2" t="s">
        <v>50</v>
      </c>
      <c r="B209" s="2" t="n">
        <v>1</v>
      </c>
      <c r="C209" s="2" t="s">
        <v>97</v>
      </c>
      <c r="D209" s="2" t="n">
        <v>480</v>
      </c>
      <c r="E209" s="2" t="n">
        <v>2048</v>
      </c>
      <c r="F209" s="2" t="n">
        <v>0</v>
      </c>
      <c r="G209" s="8" t="n">
        <f aca="false">D209/E209</f>
        <v>0.234375</v>
      </c>
      <c r="H209" s="8" t="n">
        <f aca="false">F209/100</f>
        <v>0</v>
      </c>
    </row>
    <row r="210" customFormat="false" ht="15" hidden="false" customHeight="false" outlineLevel="0" collapsed="false">
      <c r="A210" s="2" t="s">
        <v>51</v>
      </c>
      <c r="B210" s="2" t="n">
        <v>1</v>
      </c>
      <c r="C210" s="2" t="s">
        <v>99</v>
      </c>
      <c r="D210" s="2" t="n">
        <v>304</v>
      </c>
      <c r="E210" s="2" t="n">
        <v>1024</v>
      </c>
      <c r="F210" s="2" t="n">
        <v>9</v>
      </c>
      <c r="G210" s="8" t="n">
        <f aca="false">D210/E210</f>
        <v>0.296875</v>
      </c>
      <c r="H210" s="8" t="n">
        <f aca="false">F210/100</f>
        <v>0.09</v>
      </c>
    </row>
    <row r="211" customFormat="false" ht="15" hidden="false" customHeight="false" outlineLevel="0" collapsed="false">
      <c r="A211" s="2" t="s">
        <v>51</v>
      </c>
      <c r="B211" s="2" t="n">
        <v>1</v>
      </c>
      <c r="C211" s="2" t="s">
        <v>93</v>
      </c>
      <c r="D211" s="2" t="n">
        <v>208</v>
      </c>
      <c r="E211" s="2" t="n">
        <v>1024</v>
      </c>
      <c r="F211" s="2" t="n">
        <v>90</v>
      </c>
      <c r="G211" s="8" t="n">
        <f aca="false">D211/E211</f>
        <v>0.203125</v>
      </c>
      <c r="H211" s="8" t="n">
        <f aca="false">F211/100</f>
        <v>0.9</v>
      </c>
    </row>
    <row r="212" customFormat="false" ht="15" hidden="false" customHeight="false" outlineLevel="0" collapsed="false">
      <c r="A212" s="2" t="s">
        <v>51</v>
      </c>
      <c r="B212" s="2" t="n">
        <v>1</v>
      </c>
      <c r="C212" s="2" t="s">
        <v>94</v>
      </c>
      <c r="D212" s="2" t="n">
        <v>1024</v>
      </c>
      <c r="E212" s="2" t="n">
        <v>4096</v>
      </c>
      <c r="F212" s="2" t="n">
        <v>0</v>
      </c>
      <c r="G212" s="8" t="n">
        <f aca="false">D212/E212</f>
        <v>0.25</v>
      </c>
      <c r="H212" s="8" t="n">
        <f aca="false">F212/100</f>
        <v>0</v>
      </c>
    </row>
    <row r="213" customFormat="false" ht="15" hidden="false" customHeight="false" outlineLevel="0" collapsed="false">
      <c r="A213" s="2" t="s">
        <v>51</v>
      </c>
      <c r="B213" s="2" t="n">
        <v>1</v>
      </c>
      <c r="C213" s="2" t="s">
        <v>97</v>
      </c>
      <c r="D213" s="2" t="n">
        <v>480</v>
      </c>
      <c r="E213" s="2" t="n">
        <v>2048</v>
      </c>
      <c r="F213" s="2" t="n">
        <v>0</v>
      </c>
      <c r="G213" s="8" t="n">
        <f aca="false">D213/E213</f>
        <v>0.234375</v>
      </c>
      <c r="H213" s="8" t="n">
        <f aca="false">F213/100</f>
        <v>0</v>
      </c>
    </row>
    <row r="214" customFormat="false" ht="15" hidden="false" customHeight="false" outlineLevel="0" collapsed="false">
      <c r="A214" s="2" t="s">
        <v>52</v>
      </c>
      <c r="B214" s="2" t="n">
        <v>1</v>
      </c>
      <c r="C214" s="2" t="s">
        <v>99</v>
      </c>
      <c r="D214" s="2" t="n">
        <v>304</v>
      </c>
      <c r="E214" s="2" t="n">
        <v>1024</v>
      </c>
      <c r="F214" s="2" t="n">
        <v>0</v>
      </c>
      <c r="G214" s="8" t="n">
        <f aca="false">D214/E214</f>
        <v>0.296875</v>
      </c>
      <c r="H214" s="8" t="n">
        <f aca="false">F214/100</f>
        <v>0</v>
      </c>
    </row>
    <row r="215" customFormat="false" ht="15" hidden="false" customHeight="false" outlineLevel="0" collapsed="false">
      <c r="A215" s="2" t="s">
        <v>52</v>
      </c>
      <c r="B215" s="2" t="n">
        <v>1</v>
      </c>
      <c r="C215" s="2" t="s">
        <v>93</v>
      </c>
      <c r="D215" s="2" t="n">
        <v>208</v>
      </c>
      <c r="E215" s="2" t="n">
        <v>1024</v>
      </c>
      <c r="F215" s="2" t="n">
        <v>98</v>
      </c>
      <c r="G215" s="8" t="n">
        <f aca="false">D215/E215</f>
        <v>0.203125</v>
      </c>
      <c r="H215" s="8" t="n">
        <f aca="false">F215/100</f>
        <v>0.98</v>
      </c>
    </row>
    <row r="216" customFormat="false" ht="15" hidden="false" customHeight="false" outlineLevel="0" collapsed="false">
      <c r="A216" s="2" t="s">
        <v>52</v>
      </c>
      <c r="B216" s="2" t="n">
        <v>1</v>
      </c>
      <c r="C216" s="2" t="s">
        <v>94</v>
      </c>
      <c r="D216" s="2" t="n">
        <v>1024</v>
      </c>
      <c r="E216" s="2" t="n">
        <v>4096</v>
      </c>
      <c r="F216" s="2" t="n">
        <v>0</v>
      </c>
      <c r="G216" s="8" t="n">
        <f aca="false">D216/E216</f>
        <v>0.25</v>
      </c>
      <c r="H216" s="8" t="n">
        <f aca="false">F216/100</f>
        <v>0</v>
      </c>
    </row>
    <row r="217" customFormat="false" ht="15" hidden="false" customHeight="false" outlineLevel="0" collapsed="false">
      <c r="A217" s="2" t="s">
        <v>52</v>
      </c>
      <c r="B217" s="2" t="n">
        <v>1</v>
      </c>
      <c r="C217" s="2" t="s">
        <v>97</v>
      </c>
      <c r="D217" s="2" t="n">
        <v>480</v>
      </c>
      <c r="E217" s="2" t="n">
        <v>2048</v>
      </c>
      <c r="F217" s="2" t="n">
        <v>0</v>
      </c>
      <c r="G217" s="8" t="n">
        <f aca="false">D217/E217</f>
        <v>0.234375</v>
      </c>
      <c r="H217" s="8" t="n">
        <f aca="false">F217/100</f>
        <v>0</v>
      </c>
    </row>
    <row r="218" customFormat="false" ht="15" hidden="false" customHeight="false" outlineLevel="0" collapsed="false">
      <c r="A218" s="2" t="s">
        <v>53</v>
      </c>
      <c r="B218" s="2" t="n">
        <v>1</v>
      </c>
      <c r="C218" s="2" t="s">
        <v>99</v>
      </c>
      <c r="D218" s="2" t="n">
        <v>320</v>
      </c>
      <c r="E218" s="2" t="n">
        <v>1024</v>
      </c>
      <c r="F218" s="2" t="n">
        <v>33</v>
      </c>
      <c r="G218" s="8" t="n">
        <f aca="false">D218/E218</f>
        <v>0.3125</v>
      </c>
      <c r="H218" s="8" t="n">
        <f aca="false">F218/100</f>
        <v>0.33</v>
      </c>
    </row>
    <row r="219" customFormat="false" ht="15" hidden="false" customHeight="false" outlineLevel="0" collapsed="false">
      <c r="A219" s="2" t="s">
        <v>53</v>
      </c>
      <c r="B219" s="2" t="n">
        <v>1</v>
      </c>
      <c r="C219" s="2" t="s">
        <v>93</v>
      </c>
      <c r="D219" s="2" t="n">
        <v>208</v>
      </c>
      <c r="E219" s="2" t="n">
        <v>1024</v>
      </c>
      <c r="F219" s="2" t="n">
        <v>66</v>
      </c>
      <c r="G219" s="8" t="n">
        <f aca="false">D219/E219</f>
        <v>0.203125</v>
      </c>
      <c r="H219" s="8" t="n">
        <f aca="false">F219/100</f>
        <v>0.66</v>
      </c>
    </row>
    <row r="220" customFormat="false" ht="15" hidden="false" customHeight="false" outlineLevel="0" collapsed="false">
      <c r="A220" s="2" t="s">
        <v>53</v>
      </c>
      <c r="B220" s="2" t="n">
        <v>1</v>
      </c>
      <c r="C220" s="2" t="s">
        <v>94</v>
      </c>
      <c r="D220" s="2" t="n">
        <v>1024</v>
      </c>
      <c r="E220" s="2" t="n">
        <v>4096</v>
      </c>
      <c r="F220" s="2" t="n">
        <v>0</v>
      </c>
      <c r="G220" s="8" t="n">
        <f aca="false">D220/E220</f>
        <v>0.25</v>
      </c>
      <c r="H220" s="8" t="n">
        <f aca="false">F220/100</f>
        <v>0</v>
      </c>
    </row>
    <row r="221" customFormat="false" ht="15" hidden="false" customHeight="false" outlineLevel="0" collapsed="false">
      <c r="A221" s="2" t="s">
        <v>53</v>
      </c>
      <c r="B221" s="2" t="n">
        <v>1</v>
      </c>
      <c r="C221" s="2" t="s">
        <v>97</v>
      </c>
      <c r="D221" s="2" t="n">
        <v>480</v>
      </c>
      <c r="E221" s="2" t="n">
        <v>2048</v>
      </c>
      <c r="F221" s="2" t="n">
        <v>0</v>
      </c>
      <c r="G221" s="8" t="n">
        <f aca="false">D221/E221</f>
        <v>0.234375</v>
      </c>
      <c r="H221" s="8" t="n">
        <f aca="false">F221/100</f>
        <v>0</v>
      </c>
    </row>
    <row r="222" customFormat="false" ht="15" hidden="false" customHeight="false" outlineLevel="0" collapsed="false">
      <c r="A222" s="2" t="s">
        <v>54</v>
      </c>
      <c r="B222" s="2" t="n">
        <v>1</v>
      </c>
      <c r="C222" s="2" t="s">
        <v>92</v>
      </c>
      <c r="D222" s="2" t="n">
        <v>288</v>
      </c>
      <c r="E222" s="2" t="n">
        <v>1024</v>
      </c>
      <c r="F222" s="2" t="n">
        <v>95</v>
      </c>
      <c r="G222" s="8" t="n">
        <f aca="false">D222/E222</f>
        <v>0.28125</v>
      </c>
      <c r="H222" s="8" t="n">
        <f aca="false">F222/100</f>
        <v>0.95</v>
      </c>
    </row>
    <row r="223" customFormat="false" ht="15" hidden="false" customHeight="false" outlineLevel="0" collapsed="false">
      <c r="A223" s="2" t="s">
        <v>54</v>
      </c>
      <c r="B223" s="2" t="n">
        <v>1</v>
      </c>
      <c r="C223" s="2" t="s">
        <v>93</v>
      </c>
      <c r="D223" s="2" t="n">
        <v>208</v>
      </c>
      <c r="E223" s="2" t="n">
        <v>1024</v>
      </c>
      <c r="F223" s="2" t="n">
        <v>4</v>
      </c>
      <c r="G223" s="8" t="n">
        <f aca="false">D223/E223</f>
        <v>0.203125</v>
      </c>
      <c r="H223" s="8" t="n">
        <f aca="false">F223/100</f>
        <v>0.04</v>
      </c>
    </row>
    <row r="224" customFormat="false" ht="15" hidden="false" customHeight="false" outlineLevel="0" collapsed="false">
      <c r="A224" s="2" t="s">
        <v>54</v>
      </c>
      <c r="B224" s="2" t="n">
        <v>1</v>
      </c>
      <c r="C224" s="2" t="s">
        <v>94</v>
      </c>
      <c r="D224" s="2" t="n">
        <v>1024</v>
      </c>
      <c r="E224" s="2" t="n">
        <v>4096</v>
      </c>
      <c r="F224" s="2" t="n">
        <v>0</v>
      </c>
      <c r="G224" s="8" t="n">
        <f aca="false">D224/E224</f>
        <v>0.25</v>
      </c>
      <c r="H224" s="8" t="n">
        <f aca="false">F224/100</f>
        <v>0</v>
      </c>
    </row>
    <row r="225" customFormat="false" ht="15" hidden="false" customHeight="false" outlineLevel="0" collapsed="false">
      <c r="A225" s="2" t="s">
        <v>54</v>
      </c>
      <c r="B225" s="2" t="n">
        <v>1</v>
      </c>
      <c r="C225" s="2" t="s">
        <v>97</v>
      </c>
      <c r="D225" s="2" t="n">
        <v>352</v>
      </c>
      <c r="E225" s="2" t="n">
        <v>2048</v>
      </c>
      <c r="F225" s="2" t="n">
        <v>0</v>
      </c>
      <c r="G225" s="8" t="n">
        <f aca="false">D225/E225</f>
        <v>0.171875</v>
      </c>
      <c r="H225" s="8" t="n">
        <f aca="false">F225/100</f>
        <v>0</v>
      </c>
    </row>
    <row r="226" customFormat="false" ht="15" hidden="false" customHeight="false" outlineLevel="0" collapsed="false">
      <c r="A226" s="2" t="s">
        <v>55</v>
      </c>
      <c r="B226" s="2" t="n">
        <v>1</v>
      </c>
      <c r="C226" s="2" t="s">
        <v>96</v>
      </c>
      <c r="D226" s="2" t="n">
        <v>288</v>
      </c>
      <c r="E226" s="2" t="n">
        <v>1024</v>
      </c>
      <c r="F226" s="2" t="n">
        <v>43</v>
      </c>
      <c r="G226" s="8" t="n">
        <f aca="false">D226/E226</f>
        <v>0.28125</v>
      </c>
      <c r="H226" s="8" t="n">
        <f aca="false">F226/100</f>
        <v>0.43</v>
      </c>
    </row>
    <row r="227" customFormat="false" ht="15" hidden="false" customHeight="false" outlineLevel="0" collapsed="false">
      <c r="A227" s="2" t="s">
        <v>55</v>
      </c>
      <c r="B227" s="2" t="n">
        <v>1</v>
      </c>
      <c r="C227" s="2" t="s">
        <v>93</v>
      </c>
      <c r="D227" s="2" t="n">
        <v>208</v>
      </c>
      <c r="E227" s="2" t="n">
        <v>1024</v>
      </c>
      <c r="F227" s="2" t="n">
        <v>56</v>
      </c>
      <c r="G227" s="8" t="n">
        <f aca="false">D227/E227</f>
        <v>0.203125</v>
      </c>
      <c r="H227" s="8" t="n">
        <f aca="false">F227/100</f>
        <v>0.56</v>
      </c>
    </row>
    <row r="228" customFormat="false" ht="15" hidden="false" customHeight="false" outlineLevel="0" collapsed="false">
      <c r="A228" s="2" t="s">
        <v>55</v>
      </c>
      <c r="B228" s="2" t="n">
        <v>1</v>
      </c>
      <c r="C228" s="2" t="s">
        <v>94</v>
      </c>
      <c r="D228" s="2" t="n">
        <v>1024</v>
      </c>
      <c r="E228" s="2" t="n">
        <v>4096</v>
      </c>
      <c r="F228" s="2" t="n">
        <v>0</v>
      </c>
      <c r="G228" s="8" t="n">
        <f aca="false">D228/E228</f>
        <v>0.25</v>
      </c>
      <c r="H228" s="8" t="n">
        <f aca="false">F228/100</f>
        <v>0</v>
      </c>
    </row>
    <row r="229" customFormat="false" ht="15" hidden="false" customHeight="false" outlineLevel="0" collapsed="false">
      <c r="A229" s="2" t="s">
        <v>55</v>
      </c>
      <c r="B229" s="2" t="n">
        <v>1</v>
      </c>
      <c r="C229" s="2" t="s">
        <v>97</v>
      </c>
      <c r="D229" s="2" t="n">
        <v>352</v>
      </c>
      <c r="E229" s="2" t="n">
        <v>2048</v>
      </c>
      <c r="F229" s="2" t="n">
        <v>0</v>
      </c>
      <c r="G229" s="8" t="n">
        <f aca="false">D229/E229</f>
        <v>0.171875</v>
      </c>
      <c r="H229" s="8" t="n">
        <f aca="false">F229/100</f>
        <v>0</v>
      </c>
    </row>
    <row r="230" customFormat="false" ht="15" hidden="false" customHeight="false" outlineLevel="0" collapsed="false">
      <c r="A230" s="2" t="s">
        <v>56</v>
      </c>
      <c r="B230" s="2" t="n">
        <v>1</v>
      </c>
      <c r="C230" s="2" t="s">
        <v>99</v>
      </c>
      <c r="D230" s="2" t="n">
        <v>320</v>
      </c>
      <c r="E230" s="2" t="n">
        <v>1024</v>
      </c>
      <c r="F230" s="2" t="n">
        <v>95</v>
      </c>
      <c r="G230" s="8" t="n">
        <f aca="false">D230/E230</f>
        <v>0.3125</v>
      </c>
      <c r="H230" s="8" t="n">
        <f aca="false">F230/100</f>
        <v>0.95</v>
      </c>
    </row>
    <row r="231" customFormat="false" ht="15" hidden="false" customHeight="false" outlineLevel="0" collapsed="false">
      <c r="A231" s="2" t="s">
        <v>56</v>
      </c>
      <c r="B231" s="2" t="n">
        <v>1</v>
      </c>
      <c r="C231" s="2" t="s">
        <v>93</v>
      </c>
      <c r="D231" s="2" t="n">
        <v>208</v>
      </c>
      <c r="E231" s="2" t="n">
        <v>1024</v>
      </c>
      <c r="F231" s="2" t="n">
        <v>4</v>
      </c>
      <c r="G231" s="8" t="n">
        <f aca="false">D231/E231</f>
        <v>0.203125</v>
      </c>
      <c r="H231" s="8" t="n">
        <f aca="false">F231/100</f>
        <v>0.04</v>
      </c>
    </row>
    <row r="232" customFormat="false" ht="15" hidden="false" customHeight="false" outlineLevel="0" collapsed="false">
      <c r="A232" s="2" t="s">
        <v>56</v>
      </c>
      <c r="B232" s="2" t="n">
        <v>1</v>
      </c>
      <c r="C232" s="2" t="s">
        <v>94</v>
      </c>
      <c r="D232" s="2" t="n">
        <v>1024</v>
      </c>
      <c r="E232" s="2" t="n">
        <v>4096</v>
      </c>
      <c r="F232" s="2" t="n">
        <v>0</v>
      </c>
      <c r="G232" s="8" t="n">
        <f aca="false">D232/E232</f>
        <v>0.25</v>
      </c>
      <c r="H232" s="8" t="n">
        <f aca="false">F232/100</f>
        <v>0</v>
      </c>
    </row>
    <row r="233" customFormat="false" ht="15" hidden="false" customHeight="false" outlineLevel="0" collapsed="false">
      <c r="A233" s="2" t="s">
        <v>56</v>
      </c>
      <c r="B233" s="2" t="n">
        <v>1</v>
      </c>
      <c r="C233" s="2" t="s">
        <v>97</v>
      </c>
      <c r="D233" s="2" t="n">
        <v>352</v>
      </c>
      <c r="E233" s="2" t="n">
        <v>2048</v>
      </c>
      <c r="F233" s="2" t="n">
        <v>0</v>
      </c>
      <c r="G233" s="8" t="n">
        <f aca="false">D233/E233</f>
        <v>0.171875</v>
      </c>
      <c r="H233" s="8" t="n">
        <f aca="false">F233/100</f>
        <v>0</v>
      </c>
    </row>
    <row r="234" customFormat="false" ht="15" hidden="false" customHeight="false" outlineLevel="0" collapsed="false">
      <c r="A234" s="2" t="s">
        <v>57</v>
      </c>
      <c r="B234" s="2" t="n">
        <v>1</v>
      </c>
      <c r="C234" s="2" t="s">
        <v>92</v>
      </c>
      <c r="D234" s="2" t="n">
        <v>288</v>
      </c>
      <c r="E234" s="2" t="n">
        <v>1024</v>
      </c>
      <c r="F234" s="2" t="n">
        <v>16</v>
      </c>
      <c r="G234" s="8" t="n">
        <f aca="false">D234/E234</f>
        <v>0.28125</v>
      </c>
      <c r="H234" s="8" t="n">
        <f aca="false">F234/100</f>
        <v>0.16</v>
      </c>
    </row>
    <row r="235" customFormat="false" ht="15" hidden="false" customHeight="false" outlineLevel="0" collapsed="false">
      <c r="A235" s="2" t="s">
        <v>57</v>
      </c>
      <c r="B235" s="2" t="n">
        <v>1</v>
      </c>
      <c r="C235" s="2" t="s">
        <v>100</v>
      </c>
      <c r="D235" s="2" t="n">
        <v>240</v>
      </c>
      <c r="E235" s="2" t="n">
        <v>1024</v>
      </c>
      <c r="F235" s="2" t="n">
        <v>0</v>
      </c>
      <c r="G235" s="8" t="n">
        <f aca="false">D235/E235</f>
        <v>0.234375</v>
      </c>
      <c r="H235" s="8" t="n">
        <f aca="false">F235/100</f>
        <v>0</v>
      </c>
    </row>
    <row r="236" customFormat="false" ht="15" hidden="false" customHeight="false" outlineLevel="0" collapsed="false">
      <c r="A236" s="2" t="s">
        <v>57</v>
      </c>
      <c r="B236" s="2" t="n">
        <v>1</v>
      </c>
      <c r="C236" s="2" t="s">
        <v>93</v>
      </c>
      <c r="D236" s="2" t="n">
        <v>208</v>
      </c>
      <c r="E236" s="2" t="n">
        <v>1024</v>
      </c>
      <c r="F236" s="2" t="n">
        <v>83</v>
      </c>
      <c r="G236" s="8" t="n">
        <f aca="false">D236/E236</f>
        <v>0.203125</v>
      </c>
      <c r="H236" s="8" t="n">
        <f aca="false">F236/100</f>
        <v>0.83</v>
      </c>
    </row>
    <row r="237" customFormat="false" ht="15" hidden="false" customHeight="false" outlineLevel="0" collapsed="false">
      <c r="A237" s="2" t="s">
        <v>57</v>
      </c>
      <c r="B237" s="2" t="n">
        <v>1</v>
      </c>
      <c r="C237" s="2" t="s">
        <v>94</v>
      </c>
      <c r="D237" s="2" t="n">
        <v>1024</v>
      </c>
      <c r="E237" s="2" t="n">
        <v>4096</v>
      </c>
      <c r="F237" s="2" t="n">
        <v>0</v>
      </c>
      <c r="G237" s="8" t="n">
        <f aca="false">D237/E237</f>
        <v>0.25</v>
      </c>
      <c r="H237" s="8" t="n">
        <f aca="false">F237/100</f>
        <v>0</v>
      </c>
    </row>
    <row r="238" customFormat="false" ht="15" hidden="false" customHeight="false" outlineLevel="0" collapsed="false">
      <c r="A238" s="2" t="s">
        <v>57</v>
      </c>
      <c r="B238" s="2" t="n">
        <v>1</v>
      </c>
      <c r="C238" s="2" t="s">
        <v>97</v>
      </c>
      <c r="D238" s="2" t="n">
        <v>368</v>
      </c>
      <c r="E238" s="2" t="n">
        <v>2048</v>
      </c>
      <c r="F238" s="2" t="n">
        <v>0</v>
      </c>
      <c r="G238" s="8" t="n">
        <f aca="false">D238/E238</f>
        <v>0.1796875</v>
      </c>
      <c r="H238" s="8" t="n">
        <f aca="false">F238/100</f>
        <v>0</v>
      </c>
    </row>
    <row r="239" customFormat="false" ht="15" hidden="false" customHeight="false" outlineLevel="0" collapsed="false">
      <c r="A239" s="2" t="s">
        <v>58</v>
      </c>
      <c r="B239" s="2" t="n">
        <v>1</v>
      </c>
      <c r="C239" s="2" t="s">
        <v>100</v>
      </c>
      <c r="D239" s="2" t="n">
        <v>240</v>
      </c>
      <c r="E239" s="2" t="n">
        <v>1024</v>
      </c>
      <c r="F239" s="2" t="n">
        <v>0</v>
      </c>
      <c r="G239" s="8" t="n">
        <f aca="false">D239/E239</f>
        <v>0.234375</v>
      </c>
      <c r="H239" s="8" t="n">
        <f aca="false">F239/100</f>
        <v>0</v>
      </c>
    </row>
    <row r="240" customFormat="false" ht="15" hidden="false" customHeight="false" outlineLevel="0" collapsed="false">
      <c r="A240" s="2" t="s">
        <v>58</v>
      </c>
      <c r="B240" s="2" t="n">
        <v>1</v>
      </c>
      <c r="C240" s="2" t="s">
        <v>93</v>
      </c>
      <c r="D240" s="2" t="n">
        <v>208</v>
      </c>
      <c r="E240" s="2" t="n">
        <v>1024</v>
      </c>
      <c r="F240" s="2" t="n">
        <v>99</v>
      </c>
      <c r="G240" s="8" t="n">
        <f aca="false">D240/E240</f>
        <v>0.203125</v>
      </c>
      <c r="H240" s="8" t="n">
        <f aca="false">F240/100</f>
        <v>0.99</v>
      </c>
    </row>
    <row r="241" customFormat="false" ht="15" hidden="false" customHeight="false" outlineLevel="0" collapsed="false">
      <c r="A241" s="2" t="s">
        <v>58</v>
      </c>
      <c r="B241" s="2" t="n">
        <v>1</v>
      </c>
      <c r="C241" s="2" t="s">
        <v>94</v>
      </c>
      <c r="D241" s="2" t="n">
        <v>1024</v>
      </c>
      <c r="E241" s="2" t="n">
        <v>4096</v>
      </c>
      <c r="F241" s="2" t="n">
        <v>0</v>
      </c>
      <c r="G241" s="8" t="n">
        <f aca="false">D241/E241</f>
        <v>0.25</v>
      </c>
      <c r="H241" s="8" t="n">
        <f aca="false">F241/100</f>
        <v>0</v>
      </c>
    </row>
    <row r="242" customFormat="false" ht="15" hidden="false" customHeight="false" outlineLevel="0" collapsed="false">
      <c r="A242" s="2" t="s">
        <v>58</v>
      </c>
      <c r="B242" s="2" t="n">
        <v>1</v>
      </c>
      <c r="C242" s="2" t="s">
        <v>97</v>
      </c>
      <c r="D242" s="2" t="n">
        <v>352</v>
      </c>
      <c r="E242" s="2" t="n">
        <v>2048</v>
      </c>
      <c r="F242" s="2" t="n">
        <v>0</v>
      </c>
      <c r="G242" s="8" t="n">
        <f aca="false">D242/E242</f>
        <v>0.171875</v>
      </c>
      <c r="H242" s="8" t="n">
        <f aca="false">F242/100</f>
        <v>0</v>
      </c>
    </row>
    <row r="243" customFormat="false" ht="15" hidden="false" customHeight="false" outlineLevel="0" collapsed="false">
      <c r="A243" s="2" t="s">
        <v>60</v>
      </c>
      <c r="B243" s="2" t="n">
        <v>1</v>
      </c>
      <c r="C243" s="2" t="s">
        <v>100</v>
      </c>
      <c r="D243" s="2" t="n">
        <v>240</v>
      </c>
      <c r="E243" s="2" t="n">
        <v>1024</v>
      </c>
      <c r="F243" s="2" t="n">
        <v>0</v>
      </c>
      <c r="G243" s="8" t="n">
        <f aca="false">D243/E243</f>
        <v>0.234375</v>
      </c>
      <c r="H243" s="8" t="n">
        <f aca="false">F243/100</f>
        <v>0</v>
      </c>
    </row>
    <row r="244" customFormat="false" ht="15" hidden="false" customHeight="false" outlineLevel="0" collapsed="false">
      <c r="A244" s="2" t="s">
        <v>60</v>
      </c>
      <c r="B244" s="2" t="n">
        <v>1</v>
      </c>
      <c r="C244" s="2" t="s">
        <v>99</v>
      </c>
      <c r="D244" s="2" t="n">
        <v>320</v>
      </c>
      <c r="E244" s="2" t="n">
        <v>1024</v>
      </c>
      <c r="F244" s="2" t="n">
        <v>16</v>
      </c>
      <c r="G244" s="8" t="n">
        <f aca="false">D244/E244</f>
        <v>0.3125</v>
      </c>
      <c r="H244" s="8" t="n">
        <f aca="false">F244/100</f>
        <v>0.16</v>
      </c>
    </row>
    <row r="245" customFormat="false" ht="15" hidden="false" customHeight="false" outlineLevel="0" collapsed="false">
      <c r="A245" s="2" t="s">
        <v>60</v>
      </c>
      <c r="B245" s="2" t="n">
        <v>1</v>
      </c>
      <c r="C245" s="2" t="s">
        <v>93</v>
      </c>
      <c r="D245" s="2" t="n">
        <v>208</v>
      </c>
      <c r="E245" s="2" t="n">
        <v>1024</v>
      </c>
      <c r="F245" s="2" t="n">
        <v>83</v>
      </c>
      <c r="G245" s="8" t="n">
        <f aca="false">D245/E245</f>
        <v>0.203125</v>
      </c>
      <c r="H245" s="8" t="n">
        <f aca="false">F245/100</f>
        <v>0.83</v>
      </c>
    </row>
    <row r="246" customFormat="false" ht="15" hidden="false" customHeight="false" outlineLevel="0" collapsed="false">
      <c r="A246" s="2" t="s">
        <v>60</v>
      </c>
      <c r="B246" s="2" t="n">
        <v>1</v>
      </c>
      <c r="C246" s="2" t="s">
        <v>94</v>
      </c>
      <c r="D246" s="2" t="n">
        <v>1024</v>
      </c>
      <c r="E246" s="2" t="n">
        <v>4096</v>
      </c>
      <c r="F246" s="2" t="n">
        <v>0</v>
      </c>
      <c r="G246" s="8" t="n">
        <f aca="false">D246/E246</f>
        <v>0.25</v>
      </c>
      <c r="H246" s="8" t="n">
        <f aca="false">F246/100</f>
        <v>0</v>
      </c>
    </row>
    <row r="247" customFormat="false" ht="15" hidden="false" customHeight="false" outlineLevel="0" collapsed="false">
      <c r="A247" s="2" t="s">
        <v>60</v>
      </c>
      <c r="B247" s="2" t="n">
        <v>1</v>
      </c>
      <c r="C247" s="2" t="s">
        <v>97</v>
      </c>
      <c r="D247" s="2" t="n">
        <v>480</v>
      </c>
      <c r="E247" s="2" t="n">
        <v>2048</v>
      </c>
      <c r="F247" s="2" t="n">
        <v>0</v>
      </c>
      <c r="G247" s="8" t="n">
        <f aca="false">D247/E247</f>
        <v>0.234375</v>
      </c>
      <c r="H247" s="8" t="n">
        <f aca="false">F247/100</f>
        <v>0</v>
      </c>
    </row>
    <row r="248" customFormat="false" ht="15" hidden="false" customHeight="false" outlineLevel="0" collapsed="false">
      <c r="A248" s="2" t="s">
        <v>61</v>
      </c>
      <c r="B248" s="2" t="n">
        <v>1</v>
      </c>
      <c r="C248" s="2" t="s">
        <v>92</v>
      </c>
      <c r="D248" s="2" t="n">
        <v>560</v>
      </c>
      <c r="E248" s="2" t="n">
        <v>1024</v>
      </c>
      <c r="F248" s="2" t="n">
        <v>48</v>
      </c>
      <c r="G248" s="8" t="n">
        <f aca="false">D248/E248</f>
        <v>0.546875</v>
      </c>
      <c r="H248" s="8" t="n">
        <f aca="false">F248/100</f>
        <v>0.48</v>
      </c>
    </row>
    <row r="249" customFormat="false" ht="15" hidden="false" customHeight="false" outlineLevel="0" collapsed="false">
      <c r="A249" s="2" t="s">
        <v>61</v>
      </c>
      <c r="B249" s="2" t="n">
        <v>1</v>
      </c>
      <c r="C249" s="2" t="s">
        <v>93</v>
      </c>
      <c r="D249" s="2" t="n">
        <v>208</v>
      </c>
      <c r="E249" s="2" t="n">
        <v>1024</v>
      </c>
      <c r="F249" s="2" t="n">
        <v>51</v>
      </c>
      <c r="G249" s="8" t="n">
        <f aca="false">D249/E249</f>
        <v>0.203125</v>
      </c>
      <c r="H249" s="8" t="n">
        <f aca="false">F249/100</f>
        <v>0.51</v>
      </c>
    </row>
    <row r="250" customFormat="false" ht="15" hidden="false" customHeight="false" outlineLevel="0" collapsed="false">
      <c r="A250" s="2" t="s">
        <v>61</v>
      </c>
      <c r="B250" s="2" t="n">
        <v>1</v>
      </c>
      <c r="C250" s="2" t="s">
        <v>94</v>
      </c>
      <c r="D250" s="2" t="n">
        <v>1024</v>
      </c>
      <c r="E250" s="2" t="n">
        <v>4096</v>
      </c>
      <c r="F250" s="2" t="n">
        <v>0</v>
      </c>
      <c r="G250" s="8" t="n">
        <f aca="false">D250/E250</f>
        <v>0.25</v>
      </c>
      <c r="H250" s="8" t="n">
        <f aca="false">F250/100</f>
        <v>0</v>
      </c>
    </row>
    <row r="251" customFormat="false" ht="15" hidden="false" customHeight="false" outlineLevel="0" collapsed="false">
      <c r="A251" s="2" t="s">
        <v>61</v>
      </c>
      <c r="B251" s="2" t="n">
        <v>1</v>
      </c>
      <c r="C251" s="2" t="s">
        <v>97</v>
      </c>
      <c r="D251" s="2" t="n">
        <v>352</v>
      </c>
      <c r="E251" s="2" t="n">
        <v>2048</v>
      </c>
      <c r="F251" s="2" t="n">
        <v>0</v>
      </c>
      <c r="G251" s="8" t="n">
        <f aca="false">D251/E251</f>
        <v>0.171875</v>
      </c>
      <c r="H251" s="8" t="n">
        <f aca="false">F251/100</f>
        <v>0</v>
      </c>
    </row>
    <row r="252" customFormat="false" ht="15" hidden="false" customHeight="false" outlineLevel="0" collapsed="false">
      <c r="A252" s="2" t="s">
        <v>62</v>
      </c>
      <c r="B252" s="2" t="n">
        <v>1</v>
      </c>
      <c r="C252" s="2" t="s">
        <v>92</v>
      </c>
      <c r="D252" s="2" t="n">
        <v>560</v>
      </c>
      <c r="E252" s="2" t="n">
        <v>1024</v>
      </c>
      <c r="F252" s="2" t="n">
        <v>93</v>
      </c>
      <c r="G252" s="8" t="n">
        <f aca="false">D252/E252</f>
        <v>0.546875</v>
      </c>
      <c r="H252" s="8" t="n">
        <f aca="false">F252/100</f>
        <v>0.93</v>
      </c>
    </row>
    <row r="253" customFormat="false" ht="15" hidden="false" customHeight="false" outlineLevel="0" collapsed="false">
      <c r="A253" s="2" t="s">
        <v>62</v>
      </c>
      <c r="B253" s="2" t="n">
        <v>1</v>
      </c>
      <c r="C253" s="2" t="s">
        <v>93</v>
      </c>
      <c r="D253" s="2" t="n">
        <v>208</v>
      </c>
      <c r="E253" s="2" t="n">
        <v>1024</v>
      </c>
      <c r="F253" s="2" t="n">
        <v>6</v>
      </c>
      <c r="G253" s="8" t="n">
        <f aca="false">D253/E253</f>
        <v>0.203125</v>
      </c>
      <c r="H253" s="8" t="n">
        <f aca="false">F253/100</f>
        <v>0.06</v>
      </c>
    </row>
    <row r="254" customFormat="false" ht="15" hidden="false" customHeight="false" outlineLevel="0" collapsed="false">
      <c r="A254" s="2" t="s">
        <v>62</v>
      </c>
      <c r="B254" s="2" t="n">
        <v>1</v>
      </c>
      <c r="C254" s="2" t="s">
        <v>94</v>
      </c>
      <c r="D254" s="2" t="n">
        <v>1024</v>
      </c>
      <c r="E254" s="2" t="n">
        <v>4096</v>
      </c>
      <c r="F254" s="2" t="n">
        <v>0</v>
      </c>
      <c r="G254" s="8" t="n">
        <f aca="false">D254/E254</f>
        <v>0.25</v>
      </c>
      <c r="H254" s="8" t="n">
        <f aca="false">F254/100</f>
        <v>0</v>
      </c>
    </row>
    <row r="255" customFormat="false" ht="15" hidden="false" customHeight="false" outlineLevel="0" collapsed="false">
      <c r="A255" s="2" t="s">
        <v>62</v>
      </c>
      <c r="B255" s="2" t="n">
        <v>1</v>
      </c>
      <c r="C255" s="2" t="s">
        <v>97</v>
      </c>
      <c r="D255" s="2" t="n">
        <v>352</v>
      </c>
      <c r="E255" s="2" t="n">
        <v>2048</v>
      </c>
      <c r="F255" s="2" t="n">
        <v>0</v>
      </c>
      <c r="G255" s="8" t="n">
        <f aca="false">D255/E255</f>
        <v>0.171875</v>
      </c>
      <c r="H255" s="8" t="n">
        <f aca="false">F255/100</f>
        <v>0</v>
      </c>
    </row>
    <row r="256" customFormat="false" ht="15" hidden="false" customHeight="false" outlineLevel="0" collapsed="false">
      <c r="A256" s="2" t="s">
        <v>63</v>
      </c>
      <c r="B256" s="2" t="n">
        <v>1</v>
      </c>
      <c r="C256" s="2" t="s">
        <v>92</v>
      </c>
      <c r="D256" s="2" t="n">
        <v>560</v>
      </c>
      <c r="E256" s="2" t="n">
        <v>1024</v>
      </c>
      <c r="F256" s="2" t="n">
        <v>0</v>
      </c>
      <c r="G256" s="8" t="n">
        <f aca="false">D256/E256</f>
        <v>0.546875</v>
      </c>
      <c r="H256" s="8" t="n">
        <f aca="false">F256/100</f>
        <v>0</v>
      </c>
    </row>
    <row r="257" customFormat="false" ht="15" hidden="false" customHeight="false" outlineLevel="0" collapsed="false">
      <c r="A257" s="2" t="s">
        <v>63</v>
      </c>
      <c r="B257" s="2" t="n">
        <v>1</v>
      </c>
      <c r="C257" s="2" t="s">
        <v>93</v>
      </c>
      <c r="D257" s="2" t="n">
        <v>208</v>
      </c>
      <c r="E257" s="2" t="n">
        <v>1024</v>
      </c>
      <c r="F257" s="2" t="n">
        <v>99</v>
      </c>
      <c r="G257" s="8" t="n">
        <f aca="false">D257/E257</f>
        <v>0.203125</v>
      </c>
      <c r="H257" s="8" t="n">
        <f aca="false">F257/100</f>
        <v>0.99</v>
      </c>
    </row>
    <row r="258" customFormat="false" ht="15" hidden="false" customHeight="false" outlineLevel="0" collapsed="false">
      <c r="A258" s="2" t="s">
        <v>63</v>
      </c>
      <c r="B258" s="2" t="n">
        <v>1</v>
      </c>
      <c r="C258" s="2" t="s">
        <v>94</v>
      </c>
      <c r="D258" s="2" t="n">
        <v>1024</v>
      </c>
      <c r="E258" s="2" t="n">
        <v>4096</v>
      </c>
      <c r="F258" s="2" t="n">
        <v>0</v>
      </c>
      <c r="G258" s="8" t="n">
        <f aca="false">D258/E258</f>
        <v>0.25</v>
      </c>
      <c r="H258" s="8" t="n">
        <f aca="false">F258/100</f>
        <v>0</v>
      </c>
    </row>
    <row r="259" customFormat="false" ht="15" hidden="false" customHeight="false" outlineLevel="0" collapsed="false">
      <c r="A259" s="2" t="s">
        <v>63</v>
      </c>
      <c r="B259" s="2" t="n">
        <v>1</v>
      </c>
      <c r="C259" s="2" t="s">
        <v>97</v>
      </c>
      <c r="D259" s="2" t="n">
        <v>352</v>
      </c>
      <c r="E259" s="2" t="n">
        <v>2048</v>
      </c>
      <c r="F259" s="2" t="n">
        <v>0</v>
      </c>
      <c r="G259" s="8" t="n">
        <f aca="false">D259/E259</f>
        <v>0.171875</v>
      </c>
      <c r="H259" s="8" t="n">
        <f aca="false">F259/100</f>
        <v>0</v>
      </c>
    </row>
    <row r="260" customFormat="false" ht="15" hidden="false" customHeight="false" outlineLevel="0" collapsed="false">
      <c r="A260" s="2" t="s">
        <v>64</v>
      </c>
      <c r="B260" s="2" t="n">
        <v>1</v>
      </c>
      <c r="C260" s="2" t="s">
        <v>96</v>
      </c>
      <c r="D260" s="2" t="n">
        <v>576</v>
      </c>
      <c r="E260" s="2" t="n">
        <v>1024</v>
      </c>
      <c r="F260" s="2" t="n">
        <v>48</v>
      </c>
      <c r="G260" s="8" t="n">
        <f aca="false">D260/E260</f>
        <v>0.5625</v>
      </c>
      <c r="H260" s="8" t="n">
        <f aca="false">F260/100</f>
        <v>0.48</v>
      </c>
    </row>
    <row r="261" customFormat="false" ht="15" hidden="false" customHeight="false" outlineLevel="0" collapsed="false">
      <c r="A261" s="2" t="s">
        <v>64</v>
      </c>
      <c r="B261" s="2" t="n">
        <v>1</v>
      </c>
      <c r="C261" s="2" t="s">
        <v>93</v>
      </c>
      <c r="D261" s="2" t="n">
        <v>208</v>
      </c>
      <c r="E261" s="2" t="n">
        <v>1024</v>
      </c>
      <c r="F261" s="2" t="n">
        <v>51</v>
      </c>
      <c r="G261" s="8" t="n">
        <f aca="false">D261/E261</f>
        <v>0.203125</v>
      </c>
      <c r="H261" s="8" t="n">
        <f aca="false">F261/100</f>
        <v>0.51</v>
      </c>
    </row>
    <row r="262" customFormat="false" ht="15" hidden="false" customHeight="false" outlineLevel="0" collapsed="false">
      <c r="A262" s="2" t="s">
        <v>64</v>
      </c>
      <c r="B262" s="2" t="n">
        <v>1</v>
      </c>
      <c r="C262" s="2" t="s">
        <v>94</v>
      </c>
      <c r="D262" s="2" t="n">
        <v>1024</v>
      </c>
      <c r="E262" s="2" t="n">
        <v>4096</v>
      </c>
      <c r="F262" s="2" t="n">
        <v>0</v>
      </c>
      <c r="G262" s="8" t="n">
        <f aca="false">D262/E262</f>
        <v>0.25</v>
      </c>
      <c r="H262" s="8" t="n">
        <f aca="false">F262/100</f>
        <v>0</v>
      </c>
    </row>
    <row r="263" customFormat="false" ht="15" hidden="false" customHeight="false" outlineLevel="0" collapsed="false">
      <c r="A263" s="2" t="s">
        <v>64</v>
      </c>
      <c r="B263" s="2" t="n">
        <v>1</v>
      </c>
      <c r="C263" s="2" t="s">
        <v>97</v>
      </c>
      <c r="D263" s="2" t="n">
        <v>352</v>
      </c>
      <c r="E263" s="2" t="n">
        <v>2048</v>
      </c>
      <c r="F263" s="2" t="n">
        <v>0</v>
      </c>
      <c r="G263" s="8" t="n">
        <f aca="false">D263/E263</f>
        <v>0.171875</v>
      </c>
      <c r="H263" s="8" t="n">
        <f aca="false">F263/100</f>
        <v>0</v>
      </c>
    </row>
    <row r="264" customFormat="false" ht="15" hidden="false" customHeight="false" outlineLevel="0" collapsed="false">
      <c r="A264" s="2" t="s">
        <v>65</v>
      </c>
      <c r="B264" s="2" t="n">
        <v>1</v>
      </c>
      <c r="C264" s="2" t="s">
        <v>96</v>
      </c>
      <c r="D264" s="2" t="n">
        <v>576</v>
      </c>
      <c r="E264" s="2" t="n">
        <v>1024</v>
      </c>
      <c r="F264" s="2" t="n">
        <v>60</v>
      </c>
      <c r="G264" s="8" t="n">
        <f aca="false">D264/E264</f>
        <v>0.5625</v>
      </c>
      <c r="H264" s="8" t="n">
        <f aca="false">F264/100</f>
        <v>0.6</v>
      </c>
    </row>
    <row r="265" customFormat="false" ht="15" hidden="false" customHeight="false" outlineLevel="0" collapsed="false">
      <c r="A265" s="2" t="s">
        <v>65</v>
      </c>
      <c r="B265" s="2" t="n">
        <v>1</v>
      </c>
      <c r="C265" s="2" t="s">
        <v>93</v>
      </c>
      <c r="D265" s="2" t="n">
        <v>208</v>
      </c>
      <c r="E265" s="2" t="n">
        <v>1024</v>
      </c>
      <c r="F265" s="2" t="n">
        <v>39</v>
      </c>
      <c r="G265" s="8" t="n">
        <f aca="false">D265/E265</f>
        <v>0.203125</v>
      </c>
      <c r="H265" s="8" t="n">
        <f aca="false">F265/100</f>
        <v>0.39</v>
      </c>
    </row>
    <row r="266" customFormat="false" ht="15" hidden="false" customHeight="false" outlineLevel="0" collapsed="false">
      <c r="A266" s="2" t="s">
        <v>65</v>
      </c>
      <c r="B266" s="2" t="n">
        <v>1</v>
      </c>
      <c r="C266" s="2" t="s">
        <v>94</v>
      </c>
      <c r="D266" s="2" t="n">
        <v>1024</v>
      </c>
      <c r="E266" s="2" t="n">
        <v>4096</v>
      </c>
      <c r="F266" s="2" t="n">
        <v>0</v>
      </c>
      <c r="G266" s="8" t="n">
        <f aca="false">D266/E266</f>
        <v>0.25</v>
      </c>
      <c r="H266" s="8" t="n">
        <f aca="false">F266/100</f>
        <v>0</v>
      </c>
    </row>
    <row r="267" customFormat="false" ht="15" hidden="false" customHeight="false" outlineLevel="0" collapsed="false">
      <c r="A267" s="2" t="s">
        <v>65</v>
      </c>
      <c r="B267" s="2" t="n">
        <v>1</v>
      </c>
      <c r="C267" s="2" t="s">
        <v>97</v>
      </c>
      <c r="D267" s="2" t="n">
        <v>352</v>
      </c>
      <c r="E267" s="2" t="n">
        <v>2048</v>
      </c>
      <c r="F267" s="2" t="n">
        <v>0</v>
      </c>
      <c r="G267" s="8" t="n">
        <f aca="false">D267/E267</f>
        <v>0.171875</v>
      </c>
      <c r="H267" s="8" t="n">
        <f aca="false">F267/100</f>
        <v>0</v>
      </c>
    </row>
    <row r="268" customFormat="false" ht="15" hidden="false" customHeight="false" outlineLevel="0" collapsed="false">
      <c r="A268" s="2" t="s">
        <v>66</v>
      </c>
      <c r="B268" s="2" t="n">
        <v>1</v>
      </c>
      <c r="C268" s="2" t="s">
        <v>96</v>
      </c>
      <c r="D268" s="2" t="n">
        <v>576</v>
      </c>
      <c r="E268" s="2" t="n">
        <v>1024</v>
      </c>
      <c r="F268" s="2" t="n">
        <v>0</v>
      </c>
      <c r="G268" s="8" t="n">
        <f aca="false">D268/E268</f>
        <v>0.5625</v>
      </c>
      <c r="H268" s="8" t="n">
        <f aca="false">F268/100</f>
        <v>0</v>
      </c>
    </row>
    <row r="269" customFormat="false" ht="15" hidden="false" customHeight="false" outlineLevel="0" collapsed="false">
      <c r="A269" s="2" t="s">
        <v>66</v>
      </c>
      <c r="B269" s="2" t="n">
        <v>1</v>
      </c>
      <c r="C269" s="2" t="s">
        <v>93</v>
      </c>
      <c r="D269" s="2" t="n">
        <v>208</v>
      </c>
      <c r="E269" s="2" t="n">
        <v>1024</v>
      </c>
      <c r="F269" s="2" t="n">
        <v>99</v>
      </c>
      <c r="G269" s="8" t="n">
        <f aca="false">D269/E269</f>
        <v>0.203125</v>
      </c>
      <c r="H269" s="8" t="n">
        <f aca="false">F269/100</f>
        <v>0.99</v>
      </c>
    </row>
    <row r="270" customFormat="false" ht="15" hidden="false" customHeight="false" outlineLevel="0" collapsed="false">
      <c r="A270" s="2" t="s">
        <v>66</v>
      </c>
      <c r="B270" s="2" t="n">
        <v>1</v>
      </c>
      <c r="C270" s="2" t="s">
        <v>94</v>
      </c>
      <c r="D270" s="2" t="n">
        <v>1024</v>
      </c>
      <c r="E270" s="2" t="n">
        <v>4096</v>
      </c>
      <c r="F270" s="2" t="n">
        <v>0</v>
      </c>
      <c r="G270" s="8" t="n">
        <f aca="false">D270/E270</f>
        <v>0.25</v>
      </c>
      <c r="H270" s="8" t="n">
        <f aca="false">F270/100</f>
        <v>0</v>
      </c>
    </row>
    <row r="271" customFormat="false" ht="15" hidden="false" customHeight="false" outlineLevel="0" collapsed="false">
      <c r="A271" s="2" t="s">
        <v>66</v>
      </c>
      <c r="B271" s="2" t="n">
        <v>1</v>
      </c>
      <c r="C271" s="2" t="s">
        <v>97</v>
      </c>
      <c r="D271" s="2" t="n">
        <v>352</v>
      </c>
      <c r="E271" s="2" t="n">
        <v>2048</v>
      </c>
      <c r="F271" s="2" t="n">
        <v>0</v>
      </c>
      <c r="G271" s="8" t="n">
        <f aca="false">D271/E271</f>
        <v>0.171875</v>
      </c>
      <c r="H271" s="8" t="n">
        <f aca="false">F271/100</f>
        <v>0</v>
      </c>
    </row>
    <row r="272" customFormat="false" ht="15" hidden="false" customHeight="false" outlineLevel="0" collapsed="false">
      <c r="A272" s="2" t="s">
        <v>67</v>
      </c>
      <c r="B272" s="2" t="n">
        <v>1</v>
      </c>
      <c r="C272" s="2" t="s">
        <v>99</v>
      </c>
      <c r="D272" s="2" t="n">
        <v>608</v>
      </c>
      <c r="E272" s="2" t="n">
        <v>1024</v>
      </c>
      <c r="F272" s="2" t="n">
        <v>48</v>
      </c>
      <c r="G272" s="8" t="n">
        <f aca="false">D272/E272</f>
        <v>0.59375</v>
      </c>
      <c r="H272" s="8" t="n">
        <f aca="false">F272/100</f>
        <v>0.48</v>
      </c>
    </row>
    <row r="273" customFormat="false" ht="15" hidden="false" customHeight="false" outlineLevel="0" collapsed="false">
      <c r="A273" s="2" t="s">
        <v>67</v>
      </c>
      <c r="B273" s="2" t="n">
        <v>1</v>
      </c>
      <c r="C273" s="2" t="s">
        <v>93</v>
      </c>
      <c r="D273" s="2" t="n">
        <v>208</v>
      </c>
      <c r="E273" s="2" t="n">
        <v>1024</v>
      </c>
      <c r="F273" s="2" t="n">
        <v>51</v>
      </c>
      <c r="G273" s="8" t="n">
        <f aca="false">D273/E273</f>
        <v>0.203125</v>
      </c>
      <c r="H273" s="8" t="n">
        <f aca="false">F273/100</f>
        <v>0.51</v>
      </c>
    </row>
    <row r="274" customFormat="false" ht="15" hidden="false" customHeight="false" outlineLevel="0" collapsed="false">
      <c r="A274" s="2" t="s">
        <v>67</v>
      </c>
      <c r="B274" s="2" t="n">
        <v>1</v>
      </c>
      <c r="C274" s="2" t="s">
        <v>94</v>
      </c>
      <c r="D274" s="2" t="n">
        <v>1024</v>
      </c>
      <c r="E274" s="2" t="n">
        <v>4096</v>
      </c>
      <c r="F274" s="2" t="n">
        <v>0</v>
      </c>
      <c r="G274" s="8" t="n">
        <f aca="false">D274/E274</f>
        <v>0.25</v>
      </c>
      <c r="H274" s="8" t="n">
        <f aca="false">F274/100</f>
        <v>0</v>
      </c>
    </row>
    <row r="275" customFormat="false" ht="15" hidden="false" customHeight="false" outlineLevel="0" collapsed="false">
      <c r="A275" s="2" t="s">
        <v>67</v>
      </c>
      <c r="B275" s="2" t="n">
        <v>1</v>
      </c>
      <c r="C275" s="2" t="s">
        <v>97</v>
      </c>
      <c r="D275" s="2" t="n">
        <v>352</v>
      </c>
      <c r="E275" s="2" t="n">
        <v>2048</v>
      </c>
      <c r="F275" s="2" t="n">
        <v>0</v>
      </c>
      <c r="G275" s="8" t="n">
        <f aca="false">D275/E275</f>
        <v>0.171875</v>
      </c>
      <c r="H275" s="8" t="n">
        <f aca="false">F275/100</f>
        <v>0</v>
      </c>
    </row>
    <row r="276" customFormat="false" ht="15" hidden="false" customHeight="false" outlineLevel="0" collapsed="false">
      <c r="A276" s="2" t="s">
        <v>68</v>
      </c>
      <c r="B276" s="2" t="n">
        <v>1</v>
      </c>
      <c r="C276" s="2" t="s">
        <v>99</v>
      </c>
      <c r="D276" s="2" t="n">
        <v>608</v>
      </c>
      <c r="E276" s="2" t="n">
        <v>1024</v>
      </c>
      <c r="F276" s="2" t="n">
        <v>93</v>
      </c>
      <c r="G276" s="8" t="n">
        <f aca="false">D276/E276</f>
        <v>0.59375</v>
      </c>
      <c r="H276" s="8" t="n">
        <f aca="false">F276/100</f>
        <v>0.93</v>
      </c>
    </row>
    <row r="277" customFormat="false" ht="15" hidden="false" customHeight="false" outlineLevel="0" collapsed="false">
      <c r="A277" s="2" t="s">
        <v>68</v>
      </c>
      <c r="B277" s="2" t="n">
        <v>1</v>
      </c>
      <c r="C277" s="2" t="s">
        <v>93</v>
      </c>
      <c r="D277" s="2" t="n">
        <v>208</v>
      </c>
      <c r="E277" s="2" t="n">
        <v>1024</v>
      </c>
      <c r="F277" s="2" t="n">
        <v>6</v>
      </c>
      <c r="G277" s="8" t="n">
        <f aca="false">D277/E277</f>
        <v>0.203125</v>
      </c>
      <c r="H277" s="8" t="n">
        <f aca="false">F277/100</f>
        <v>0.06</v>
      </c>
    </row>
    <row r="278" customFormat="false" ht="15" hidden="false" customHeight="false" outlineLevel="0" collapsed="false">
      <c r="A278" s="2" t="s">
        <v>68</v>
      </c>
      <c r="B278" s="2" t="n">
        <v>1</v>
      </c>
      <c r="C278" s="2" t="s">
        <v>94</v>
      </c>
      <c r="D278" s="2" t="n">
        <v>1024</v>
      </c>
      <c r="E278" s="2" t="n">
        <v>4096</v>
      </c>
      <c r="F278" s="2" t="n">
        <v>0</v>
      </c>
      <c r="G278" s="8" t="n">
        <f aca="false">D278/E278</f>
        <v>0.25</v>
      </c>
      <c r="H278" s="8" t="n">
        <f aca="false">F278/100</f>
        <v>0</v>
      </c>
    </row>
    <row r="279" customFormat="false" ht="15" hidden="false" customHeight="false" outlineLevel="0" collapsed="false">
      <c r="A279" s="2" t="s">
        <v>68</v>
      </c>
      <c r="B279" s="2" t="n">
        <v>1</v>
      </c>
      <c r="C279" s="2" t="s">
        <v>97</v>
      </c>
      <c r="D279" s="2" t="n">
        <v>352</v>
      </c>
      <c r="E279" s="2" t="n">
        <v>2048</v>
      </c>
      <c r="F279" s="2" t="n">
        <v>0</v>
      </c>
      <c r="G279" s="8" t="n">
        <f aca="false">D279/E279</f>
        <v>0.171875</v>
      </c>
      <c r="H279" s="8" t="n">
        <f aca="false">F279/100</f>
        <v>0</v>
      </c>
    </row>
    <row r="280" customFormat="false" ht="15" hidden="false" customHeight="false" outlineLevel="0" collapsed="false">
      <c r="A280" s="2" t="s">
        <v>69</v>
      </c>
      <c r="B280" s="2" t="n">
        <v>1</v>
      </c>
      <c r="C280" s="2" t="s">
        <v>99</v>
      </c>
      <c r="D280" s="2" t="n">
        <v>608</v>
      </c>
      <c r="E280" s="2" t="n">
        <v>1024</v>
      </c>
      <c r="F280" s="2" t="n">
        <v>0</v>
      </c>
      <c r="G280" s="8" t="n">
        <f aca="false">D280/E280</f>
        <v>0.59375</v>
      </c>
      <c r="H280" s="8" t="n">
        <f aca="false">F280/100</f>
        <v>0</v>
      </c>
    </row>
    <row r="281" customFormat="false" ht="15" hidden="false" customHeight="false" outlineLevel="0" collapsed="false">
      <c r="A281" s="2" t="s">
        <v>69</v>
      </c>
      <c r="B281" s="2" t="n">
        <v>1</v>
      </c>
      <c r="C281" s="2" t="s">
        <v>93</v>
      </c>
      <c r="D281" s="2" t="n">
        <v>208</v>
      </c>
      <c r="E281" s="2" t="n">
        <v>1024</v>
      </c>
      <c r="F281" s="2" t="n">
        <v>99</v>
      </c>
      <c r="G281" s="8" t="n">
        <f aca="false">D281/E281</f>
        <v>0.203125</v>
      </c>
      <c r="H281" s="8" t="n">
        <f aca="false">F281/100</f>
        <v>0.99</v>
      </c>
    </row>
    <row r="282" customFormat="false" ht="15" hidden="false" customHeight="false" outlineLevel="0" collapsed="false">
      <c r="A282" s="2" t="s">
        <v>69</v>
      </c>
      <c r="B282" s="2" t="n">
        <v>1</v>
      </c>
      <c r="C282" s="2" t="s">
        <v>94</v>
      </c>
      <c r="D282" s="2" t="n">
        <v>1024</v>
      </c>
      <c r="E282" s="2" t="n">
        <v>4096</v>
      </c>
      <c r="F282" s="2" t="n">
        <v>0</v>
      </c>
      <c r="G282" s="8" t="n">
        <f aca="false">D282/E282</f>
        <v>0.25</v>
      </c>
      <c r="H282" s="8" t="n">
        <f aca="false">F282/100</f>
        <v>0</v>
      </c>
    </row>
    <row r="283" customFormat="false" ht="15" hidden="false" customHeight="false" outlineLevel="0" collapsed="false">
      <c r="A283" s="2" t="s">
        <v>69</v>
      </c>
      <c r="B283" s="2" t="n">
        <v>1</v>
      </c>
      <c r="C283" s="2" t="s">
        <v>97</v>
      </c>
      <c r="D283" s="2" t="n">
        <v>352</v>
      </c>
      <c r="E283" s="2" t="n">
        <v>2048</v>
      </c>
      <c r="F283" s="2" t="n">
        <v>0</v>
      </c>
      <c r="G283" s="8" t="n">
        <f aca="false">D283/E283</f>
        <v>0.171875</v>
      </c>
      <c r="H283" s="8" t="n">
        <f aca="false">F283/100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9" min="4" style="0" width="12"/>
  </cols>
  <sheetData>
    <row r="1" customFormat="false" ht="23.85" hidden="false" customHeight="false" outlineLevel="0" collapsed="false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</row>
    <row r="2" customFormat="false" ht="15" hidden="false" customHeight="false" outlineLevel="0" collapsed="false">
      <c r="A2" s="2" t="s">
        <v>91</v>
      </c>
      <c r="B2" s="2" t="n">
        <v>145264</v>
      </c>
      <c r="C2" s="2" t="n">
        <v>35584</v>
      </c>
      <c r="D2" s="2" t="n">
        <v>12520</v>
      </c>
      <c r="E2" s="2" t="n">
        <v>8192</v>
      </c>
      <c r="F2" s="9" t="n">
        <f aca="false">D2+E2</f>
        <v>20712</v>
      </c>
    </row>
    <row r="3" customFormat="false" ht="15" hidden="false" customHeight="false" outlineLevel="0" collapsed="false">
      <c r="A3" s="2" t="s">
        <v>95</v>
      </c>
      <c r="B3" s="2" t="n">
        <v>145120</v>
      </c>
      <c r="C3" s="2" t="n">
        <v>35072</v>
      </c>
      <c r="D3" s="2" t="n">
        <v>12488</v>
      </c>
      <c r="E3" s="2" t="n">
        <v>8192</v>
      </c>
      <c r="F3" s="9" t="n">
        <f aca="false">D3+E3</f>
        <v>20680</v>
      </c>
    </row>
    <row r="4" customFormat="false" ht="15" hidden="false" customHeight="false" outlineLevel="0" collapsed="false">
      <c r="A4" s="2" t="s">
        <v>98</v>
      </c>
      <c r="B4" s="2" t="n">
        <v>145200</v>
      </c>
      <c r="C4" s="2" t="n">
        <v>36352</v>
      </c>
      <c r="D4" s="2" t="n">
        <v>12560</v>
      </c>
      <c r="E4" s="2" t="n">
        <v>8192</v>
      </c>
      <c r="F4" s="9" t="n">
        <f aca="false">D4+E4</f>
        <v>20752</v>
      </c>
    </row>
    <row r="5" customFormat="false" ht="15" hidden="false" customHeight="false" outlineLevel="0" collapsed="false">
      <c r="A5" s="2" t="s">
        <v>28</v>
      </c>
      <c r="B5" s="2" t="n">
        <v>146560</v>
      </c>
      <c r="C5" s="2" t="n">
        <v>35584</v>
      </c>
      <c r="D5" s="2" t="n">
        <v>12520</v>
      </c>
      <c r="E5" s="2" t="n">
        <v>8192</v>
      </c>
      <c r="F5" s="9" t="n">
        <f aca="false">D5+E5</f>
        <v>20712</v>
      </c>
    </row>
    <row r="6" customFormat="false" ht="15" hidden="false" customHeight="false" outlineLevel="0" collapsed="false">
      <c r="A6" s="2" t="s">
        <v>22</v>
      </c>
      <c r="B6" s="2" t="n">
        <v>146560</v>
      </c>
      <c r="C6" s="2" t="n">
        <v>35584</v>
      </c>
      <c r="D6" s="2" t="n">
        <v>12520</v>
      </c>
      <c r="E6" s="2" t="n">
        <v>8192</v>
      </c>
      <c r="F6" s="9" t="n">
        <f aca="false">D6+E6</f>
        <v>20712</v>
      </c>
    </row>
    <row r="7" customFormat="false" ht="15" hidden="false" customHeight="false" outlineLevel="0" collapsed="false">
      <c r="A7" s="2" t="s">
        <v>32</v>
      </c>
      <c r="B7" s="2" t="n">
        <v>146416</v>
      </c>
      <c r="C7" s="2" t="n">
        <v>35072</v>
      </c>
      <c r="D7" s="2" t="n">
        <v>12488</v>
      </c>
      <c r="E7" s="2" t="n">
        <v>8192</v>
      </c>
      <c r="F7" s="9" t="n">
        <f aca="false">D7+E7</f>
        <v>20680</v>
      </c>
    </row>
    <row r="8" customFormat="false" ht="15" hidden="false" customHeight="false" outlineLevel="0" collapsed="false">
      <c r="A8" s="2" t="s">
        <v>29</v>
      </c>
      <c r="B8" s="2" t="n">
        <v>146416</v>
      </c>
      <c r="C8" s="2" t="n">
        <v>35072</v>
      </c>
      <c r="D8" s="2" t="n">
        <v>12488</v>
      </c>
      <c r="E8" s="2" t="n">
        <v>8192</v>
      </c>
      <c r="F8" s="9" t="n">
        <f aca="false">D8+E8</f>
        <v>20680</v>
      </c>
    </row>
    <row r="9" customFormat="false" ht="15" hidden="false" customHeight="false" outlineLevel="0" collapsed="false">
      <c r="A9" s="2" t="s">
        <v>31</v>
      </c>
      <c r="B9" s="2" t="n">
        <v>146416</v>
      </c>
      <c r="C9" s="2" t="n">
        <v>35072</v>
      </c>
      <c r="D9" s="2" t="n">
        <v>12488</v>
      </c>
      <c r="E9" s="2" t="n">
        <v>8192</v>
      </c>
      <c r="F9" s="9" t="n">
        <f aca="false">D9+E9</f>
        <v>20680</v>
      </c>
    </row>
    <row r="10" customFormat="false" ht="15" hidden="false" customHeight="false" outlineLevel="0" collapsed="false">
      <c r="A10" s="2" t="s">
        <v>35</v>
      </c>
      <c r="B10" s="2" t="n">
        <v>146496</v>
      </c>
      <c r="C10" s="2" t="n">
        <v>36352</v>
      </c>
      <c r="D10" s="2" t="n">
        <v>12560</v>
      </c>
      <c r="E10" s="2" t="n">
        <v>8192</v>
      </c>
      <c r="F10" s="9" t="n">
        <f aca="false">D10+E10</f>
        <v>20752</v>
      </c>
    </row>
    <row r="11" customFormat="false" ht="15" hidden="false" customHeight="false" outlineLevel="0" collapsed="false">
      <c r="A11" s="2" t="s">
        <v>33</v>
      </c>
      <c r="B11" s="2" t="n">
        <v>146496</v>
      </c>
      <c r="C11" s="2" t="n">
        <v>36352</v>
      </c>
      <c r="D11" s="2" t="n">
        <v>12560</v>
      </c>
      <c r="E11" s="2" t="n">
        <v>8192</v>
      </c>
      <c r="F11" s="9" t="n">
        <f aca="false">D11+E11</f>
        <v>20752</v>
      </c>
    </row>
    <row r="12" customFormat="false" ht="15" hidden="false" customHeight="false" outlineLevel="0" collapsed="false">
      <c r="A12" s="2" t="s">
        <v>36</v>
      </c>
      <c r="B12" s="2" t="n">
        <v>146416</v>
      </c>
      <c r="C12" s="2" t="n">
        <v>35072</v>
      </c>
      <c r="D12" s="2" t="n">
        <v>12488</v>
      </c>
      <c r="E12" s="2" t="n">
        <v>8192</v>
      </c>
      <c r="F12" s="9" t="n">
        <f aca="false">D12+E12</f>
        <v>20680</v>
      </c>
    </row>
    <row r="13" customFormat="false" ht="15" hidden="false" customHeight="false" outlineLevel="0" collapsed="false">
      <c r="A13" s="2" t="s">
        <v>37</v>
      </c>
      <c r="B13" s="2" t="n">
        <v>146416</v>
      </c>
      <c r="C13" s="2" t="n">
        <v>35072</v>
      </c>
      <c r="D13" s="2" t="n">
        <v>12488</v>
      </c>
      <c r="E13" s="2" t="n">
        <v>8192</v>
      </c>
      <c r="F13" s="9" t="n">
        <f aca="false">D13+E13</f>
        <v>20680</v>
      </c>
    </row>
    <row r="14" customFormat="false" ht="15" hidden="false" customHeight="false" outlineLevel="0" collapsed="false">
      <c r="A14" s="2" t="s">
        <v>38</v>
      </c>
      <c r="B14" s="2" t="n">
        <v>146416</v>
      </c>
      <c r="C14" s="2" t="n">
        <v>35072</v>
      </c>
      <c r="D14" s="2" t="n">
        <v>12488</v>
      </c>
      <c r="E14" s="2" t="n">
        <v>8192</v>
      </c>
      <c r="F14" s="9" t="n">
        <f aca="false">D14+E14</f>
        <v>20680</v>
      </c>
    </row>
    <row r="15" customFormat="false" ht="15" hidden="false" customHeight="false" outlineLevel="0" collapsed="false">
      <c r="A15" s="2" t="s">
        <v>39</v>
      </c>
      <c r="B15" s="2" t="n">
        <v>146416</v>
      </c>
      <c r="C15" s="2" t="n">
        <v>35072</v>
      </c>
      <c r="D15" s="2" t="n">
        <v>12488</v>
      </c>
      <c r="E15" s="2" t="n">
        <v>8192</v>
      </c>
      <c r="F15" s="9" t="n">
        <f aca="false">D15+E15</f>
        <v>20680</v>
      </c>
    </row>
    <row r="16" customFormat="false" ht="15" hidden="false" customHeight="false" outlineLevel="0" collapsed="false">
      <c r="A16" s="2" t="s">
        <v>40</v>
      </c>
      <c r="B16" s="2" t="n">
        <v>146416</v>
      </c>
      <c r="C16" s="2" t="n">
        <v>35072</v>
      </c>
      <c r="D16" s="2" t="n">
        <v>12488</v>
      </c>
      <c r="E16" s="2" t="n">
        <v>8192</v>
      </c>
      <c r="F16" s="9" t="n">
        <f aca="false">D16+E16</f>
        <v>20680</v>
      </c>
    </row>
    <row r="17" customFormat="false" ht="15" hidden="false" customHeight="false" outlineLevel="0" collapsed="false">
      <c r="A17" s="2" t="s">
        <v>41</v>
      </c>
      <c r="B17" s="2" t="n">
        <v>146416</v>
      </c>
      <c r="C17" s="2" t="n">
        <v>35072</v>
      </c>
      <c r="D17" s="2" t="n">
        <v>12488</v>
      </c>
      <c r="E17" s="2" t="n">
        <v>8192</v>
      </c>
      <c r="F17" s="9" t="n">
        <f aca="false">D17+E17</f>
        <v>20680</v>
      </c>
    </row>
    <row r="18" customFormat="false" ht="15" hidden="false" customHeight="false" outlineLevel="0" collapsed="false">
      <c r="A18" s="2" t="s">
        <v>42</v>
      </c>
      <c r="B18" s="2" t="n">
        <v>146416</v>
      </c>
      <c r="C18" s="2" t="n">
        <v>35072</v>
      </c>
      <c r="D18" s="2" t="n">
        <v>12488</v>
      </c>
      <c r="E18" s="2" t="n">
        <v>8192</v>
      </c>
      <c r="F18" s="9" t="n">
        <f aca="false">D18+E18</f>
        <v>20680</v>
      </c>
    </row>
    <row r="19" customFormat="false" ht="15" hidden="false" customHeight="false" outlineLevel="0" collapsed="false">
      <c r="A19" s="2" t="s">
        <v>43</v>
      </c>
      <c r="B19" s="2" t="n">
        <v>146416</v>
      </c>
      <c r="C19" s="2" t="n">
        <v>35072</v>
      </c>
      <c r="D19" s="2" t="n">
        <v>12488</v>
      </c>
      <c r="E19" s="2" t="n">
        <v>8192</v>
      </c>
      <c r="F19" s="9" t="n">
        <f aca="false">D19+E19</f>
        <v>20680</v>
      </c>
    </row>
    <row r="20" customFormat="false" ht="15" hidden="false" customHeight="false" outlineLevel="0" collapsed="false">
      <c r="A20" s="2" t="s">
        <v>44</v>
      </c>
      <c r="B20" s="2" t="n">
        <v>146416</v>
      </c>
      <c r="C20" s="2" t="n">
        <v>35072</v>
      </c>
      <c r="D20" s="2" t="n">
        <v>12488</v>
      </c>
      <c r="E20" s="2" t="n">
        <v>8192</v>
      </c>
      <c r="F20" s="9" t="n">
        <f aca="false">D20+E20</f>
        <v>20680</v>
      </c>
    </row>
    <row r="21" customFormat="false" ht="15" hidden="false" customHeight="false" outlineLevel="0" collapsed="false">
      <c r="A21" s="2" t="s">
        <v>45</v>
      </c>
      <c r="B21" s="2" t="n">
        <v>146416</v>
      </c>
      <c r="C21" s="2" t="n">
        <v>35072</v>
      </c>
      <c r="D21" s="2" t="n">
        <v>12488</v>
      </c>
      <c r="E21" s="2" t="n">
        <v>8192</v>
      </c>
      <c r="F21" s="9" t="n">
        <f aca="false">D21+E21</f>
        <v>20680</v>
      </c>
    </row>
    <row r="22" customFormat="false" ht="15" hidden="false" customHeight="false" outlineLevel="0" collapsed="false">
      <c r="A22" s="2" t="s">
        <v>46</v>
      </c>
      <c r="B22" s="2" t="n">
        <v>146560</v>
      </c>
      <c r="C22" s="2" t="n">
        <v>35584</v>
      </c>
      <c r="D22" s="2" t="n">
        <v>12520</v>
      </c>
      <c r="E22" s="2" t="n">
        <v>8192</v>
      </c>
      <c r="F22" s="9" t="n">
        <f aca="false">D22+E22</f>
        <v>20712</v>
      </c>
    </row>
    <row r="23" customFormat="false" ht="15" hidden="false" customHeight="false" outlineLevel="0" collapsed="false">
      <c r="A23" s="2" t="s">
        <v>47</v>
      </c>
      <c r="B23" s="2" t="n">
        <v>146576</v>
      </c>
      <c r="C23" s="2" t="n">
        <v>35584</v>
      </c>
      <c r="D23" s="2" t="n">
        <v>12520</v>
      </c>
      <c r="E23" s="2" t="n">
        <v>8192</v>
      </c>
      <c r="F23" s="9" t="n">
        <f aca="false">D23+E23</f>
        <v>20712</v>
      </c>
    </row>
    <row r="24" customFormat="false" ht="15" hidden="false" customHeight="false" outlineLevel="0" collapsed="false">
      <c r="A24" s="2" t="s">
        <v>48</v>
      </c>
      <c r="B24" s="2" t="n">
        <v>146576</v>
      </c>
      <c r="C24" s="2" t="n">
        <v>35584</v>
      </c>
      <c r="D24" s="2" t="n">
        <v>12520</v>
      </c>
      <c r="E24" s="2" t="n">
        <v>8192</v>
      </c>
      <c r="F24" s="9" t="n">
        <f aca="false">D24+E24</f>
        <v>20712</v>
      </c>
    </row>
    <row r="25" customFormat="false" ht="15" hidden="false" customHeight="false" outlineLevel="0" collapsed="false">
      <c r="A25" s="2" t="s">
        <v>49</v>
      </c>
      <c r="B25" s="2" t="n">
        <v>146576</v>
      </c>
      <c r="C25" s="2" t="n">
        <v>35584</v>
      </c>
      <c r="D25" s="2" t="n">
        <v>12520</v>
      </c>
      <c r="E25" s="2" t="n">
        <v>8192</v>
      </c>
      <c r="F25" s="9" t="n">
        <f aca="false">D25+E25</f>
        <v>20712</v>
      </c>
    </row>
    <row r="26" customFormat="false" ht="15" hidden="false" customHeight="false" outlineLevel="0" collapsed="false">
      <c r="A26" s="2" t="s">
        <v>50</v>
      </c>
      <c r="B26" s="2" t="n">
        <v>146496</v>
      </c>
      <c r="C26" s="2" t="n">
        <v>36352</v>
      </c>
      <c r="D26" s="2" t="n">
        <v>12560</v>
      </c>
      <c r="E26" s="2" t="n">
        <v>8192</v>
      </c>
      <c r="F26" s="9" t="n">
        <f aca="false">D26+E26</f>
        <v>20752</v>
      </c>
    </row>
    <row r="27" customFormat="false" ht="15" hidden="false" customHeight="false" outlineLevel="0" collapsed="false">
      <c r="A27" s="2" t="s">
        <v>51</v>
      </c>
      <c r="B27" s="2" t="n">
        <v>146496</v>
      </c>
      <c r="C27" s="2" t="n">
        <v>36352</v>
      </c>
      <c r="D27" s="2" t="n">
        <v>12560</v>
      </c>
      <c r="E27" s="2" t="n">
        <v>8192</v>
      </c>
      <c r="F27" s="9" t="n">
        <f aca="false">D27+E27</f>
        <v>20752</v>
      </c>
    </row>
    <row r="28" customFormat="false" ht="15" hidden="false" customHeight="false" outlineLevel="0" collapsed="false">
      <c r="A28" s="2" t="s">
        <v>52</v>
      </c>
      <c r="B28" s="2" t="n">
        <v>146496</v>
      </c>
      <c r="C28" s="2" t="n">
        <v>36352</v>
      </c>
      <c r="D28" s="2" t="n">
        <v>12560</v>
      </c>
      <c r="E28" s="2" t="n">
        <v>8192</v>
      </c>
      <c r="F28" s="9" t="n">
        <f aca="false">D28+E28</f>
        <v>20752</v>
      </c>
    </row>
    <row r="29" customFormat="false" ht="15" hidden="false" customHeight="false" outlineLevel="0" collapsed="false">
      <c r="A29" s="2" t="s">
        <v>53</v>
      </c>
      <c r="B29" s="2" t="n">
        <v>146496</v>
      </c>
      <c r="C29" s="2" t="n">
        <v>36352</v>
      </c>
      <c r="D29" s="2" t="n">
        <v>12560</v>
      </c>
      <c r="E29" s="2" t="n">
        <v>8192</v>
      </c>
      <c r="F29" s="9" t="n">
        <f aca="false">D29+E29</f>
        <v>20752</v>
      </c>
    </row>
    <row r="30" customFormat="false" ht="15" hidden="false" customHeight="false" outlineLevel="0" collapsed="false">
      <c r="A30" s="2" t="s">
        <v>54</v>
      </c>
      <c r="B30" s="2" t="n">
        <v>146576</v>
      </c>
      <c r="C30" s="2" t="n">
        <v>35584</v>
      </c>
      <c r="D30" s="2" t="n">
        <v>12520</v>
      </c>
      <c r="E30" s="2" t="n">
        <v>8192</v>
      </c>
      <c r="F30" s="9" t="n">
        <f aca="false">D30+E30</f>
        <v>20712</v>
      </c>
    </row>
    <row r="31" customFormat="false" ht="15" hidden="false" customHeight="false" outlineLevel="0" collapsed="false">
      <c r="A31" s="2" t="s">
        <v>55</v>
      </c>
      <c r="B31" s="2" t="n">
        <v>146432</v>
      </c>
      <c r="C31" s="2" t="n">
        <v>35328</v>
      </c>
      <c r="D31" s="2" t="n">
        <v>12488</v>
      </c>
      <c r="E31" s="2" t="n">
        <v>8192</v>
      </c>
      <c r="F31" s="9" t="n">
        <f aca="false">D31+E31</f>
        <v>20680</v>
      </c>
    </row>
    <row r="32" customFormat="false" ht="15" hidden="false" customHeight="false" outlineLevel="0" collapsed="false">
      <c r="A32" s="2" t="s">
        <v>56</v>
      </c>
      <c r="B32" s="2" t="n">
        <v>146496</v>
      </c>
      <c r="C32" s="2" t="n">
        <v>36352</v>
      </c>
      <c r="D32" s="2" t="n">
        <v>12560</v>
      </c>
      <c r="E32" s="2" t="n">
        <v>8192</v>
      </c>
      <c r="F32" s="9" t="n">
        <f aca="false">D32+E32</f>
        <v>20752</v>
      </c>
    </row>
    <row r="33" customFormat="false" ht="15" hidden="false" customHeight="false" outlineLevel="0" collapsed="false">
      <c r="A33" s="2" t="s">
        <v>57</v>
      </c>
      <c r="B33" s="2" t="n">
        <v>146832</v>
      </c>
      <c r="C33" s="2" t="n">
        <v>35584</v>
      </c>
      <c r="D33" s="2" t="n">
        <v>12704</v>
      </c>
      <c r="E33" s="2" t="n">
        <v>9216</v>
      </c>
      <c r="F33" s="9" t="n">
        <f aca="false">D33+E33</f>
        <v>21920</v>
      </c>
    </row>
    <row r="34" customFormat="false" ht="15" hidden="false" customHeight="false" outlineLevel="0" collapsed="false">
      <c r="A34" s="2" t="s">
        <v>58</v>
      </c>
      <c r="B34" s="2" t="n">
        <v>146688</v>
      </c>
      <c r="C34" s="2" t="n">
        <v>35328</v>
      </c>
      <c r="D34" s="2" t="n">
        <v>12504</v>
      </c>
      <c r="E34" s="2" t="n">
        <v>8192</v>
      </c>
      <c r="F34" s="9" t="n">
        <f aca="false">D34+E34</f>
        <v>20696</v>
      </c>
    </row>
    <row r="35" customFormat="false" ht="15" hidden="false" customHeight="false" outlineLevel="0" collapsed="false">
      <c r="A35" s="2" t="s">
        <v>60</v>
      </c>
      <c r="B35" s="2" t="n">
        <v>146768</v>
      </c>
      <c r="C35" s="2" t="n">
        <v>36352</v>
      </c>
      <c r="D35" s="2" t="n">
        <v>12744</v>
      </c>
      <c r="E35" s="2" t="n">
        <v>9216</v>
      </c>
      <c r="F35" s="9" t="n">
        <f aca="false">D35+E35</f>
        <v>21960</v>
      </c>
    </row>
    <row r="36" customFormat="false" ht="15" hidden="false" customHeight="false" outlineLevel="0" collapsed="false">
      <c r="A36" s="2" t="s">
        <v>61</v>
      </c>
      <c r="B36" s="2" t="n">
        <v>146576</v>
      </c>
      <c r="C36" s="2" t="n">
        <v>35584</v>
      </c>
      <c r="D36" s="2" t="n">
        <v>12520</v>
      </c>
      <c r="E36" s="2" t="n">
        <v>8192</v>
      </c>
      <c r="F36" s="9" t="n">
        <f aca="false">D36+E36</f>
        <v>20712</v>
      </c>
    </row>
    <row r="37" customFormat="false" ht="15" hidden="false" customHeight="false" outlineLevel="0" collapsed="false">
      <c r="A37" s="2" t="s">
        <v>62</v>
      </c>
      <c r="B37" s="2" t="n">
        <v>146576</v>
      </c>
      <c r="C37" s="2" t="n">
        <v>35584</v>
      </c>
      <c r="D37" s="2" t="n">
        <v>12520</v>
      </c>
      <c r="E37" s="2" t="n">
        <v>8192</v>
      </c>
      <c r="F37" s="9" t="n">
        <f aca="false">D37+E37</f>
        <v>20712</v>
      </c>
    </row>
    <row r="38" customFormat="false" ht="15" hidden="false" customHeight="false" outlineLevel="0" collapsed="false">
      <c r="A38" s="2" t="s">
        <v>63</v>
      </c>
      <c r="B38" s="2" t="n">
        <v>146576</v>
      </c>
      <c r="C38" s="2" t="n">
        <v>35584</v>
      </c>
      <c r="D38" s="2" t="n">
        <v>12520</v>
      </c>
      <c r="E38" s="2" t="n">
        <v>8192</v>
      </c>
      <c r="F38" s="9" t="n">
        <f aca="false">D38+E38</f>
        <v>20712</v>
      </c>
    </row>
    <row r="39" customFormat="false" ht="15" hidden="false" customHeight="false" outlineLevel="0" collapsed="false">
      <c r="A39" s="2" t="s">
        <v>64</v>
      </c>
      <c r="B39" s="2" t="n">
        <v>146432</v>
      </c>
      <c r="C39" s="2" t="n">
        <v>35328</v>
      </c>
      <c r="D39" s="2" t="n">
        <v>12488</v>
      </c>
      <c r="E39" s="2" t="n">
        <v>8192</v>
      </c>
      <c r="F39" s="9" t="n">
        <f aca="false">D39+E39</f>
        <v>20680</v>
      </c>
    </row>
    <row r="40" customFormat="false" ht="15" hidden="false" customHeight="false" outlineLevel="0" collapsed="false">
      <c r="A40" s="2" t="s">
        <v>65</v>
      </c>
      <c r="B40" s="2" t="n">
        <v>146432</v>
      </c>
      <c r="C40" s="2" t="n">
        <v>35328</v>
      </c>
      <c r="D40" s="2" t="n">
        <v>12488</v>
      </c>
      <c r="E40" s="2" t="n">
        <v>8192</v>
      </c>
      <c r="F40" s="9" t="n">
        <f aca="false">D40+E40</f>
        <v>20680</v>
      </c>
    </row>
    <row r="41" customFormat="false" ht="15" hidden="false" customHeight="false" outlineLevel="0" collapsed="false">
      <c r="A41" s="2" t="s">
        <v>66</v>
      </c>
      <c r="B41" s="2" t="n">
        <v>146432</v>
      </c>
      <c r="C41" s="2" t="n">
        <v>35072</v>
      </c>
      <c r="D41" s="2" t="n">
        <v>12488</v>
      </c>
      <c r="E41" s="2" t="n">
        <v>8192</v>
      </c>
      <c r="F41" s="9" t="n">
        <f aca="false">D41+E41</f>
        <v>20680</v>
      </c>
    </row>
    <row r="42" customFormat="false" ht="15" hidden="false" customHeight="false" outlineLevel="0" collapsed="false">
      <c r="A42" s="2" t="s">
        <v>67</v>
      </c>
      <c r="B42" s="2" t="n">
        <v>146496</v>
      </c>
      <c r="C42" s="2" t="n">
        <v>36352</v>
      </c>
      <c r="D42" s="2" t="n">
        <v>12560</v>
      </c>
      <c r="E42" s="2" t="n">
        <v>8192</v>
      </c>
      <c r="F42" s="9" t="n">
        <f aca="false">D42+E42</f>
        <v>20752</v>
      </c>
    </row>
    <row r="43" customFormat="false" ht="15" hidden="false" customHeight="false" outlineLevel="0" collapsed="false">
      <c r="A43" s="2" t="s">
        <v>68</v>
      </c>
      <c r="B43" s="2" t="n">
        <v>146496</v>
      </c>
      <c r="C43" s="2" t="n">
        <v>36352</v>
      </c>
      <c r="D43" s="2" t="n">
        <v>12560</v>
      </c>
      <c r="E43" s="2" t="n">
        <v>8192</v>
      </c>
      <c r="F43" s="9" t="n">
        <f aca="false">D43+E43</f>
        <v>20752</v>
      </c>
    </row>
    <row r="44" customFormat="false" ht="15" hidden="false" customHeight="false" outlineLevel="0" collapsed="false">
      <c r="A44" s="2" t="s">
        <v>69</v>
      </c>
      <c r="B44" s="2" t="n">
        <v>146512</v>
      </c>
      <c r="C44" s="2" t="n">
        <v>36352</v>
      </c>
      <c r="D44" s="2" t="n">
        <v>12560</v>
      </c>
      <c r="E44" s="2" t="n">
        <v>8192</v>
      </c>
      <c r="F44" s="9" t="n">
        <f aca="false">D44+E44</f>
        <v>20752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10" min="4" style="0" width="12"/>
  </cols>
  <sheetData>
    <row r="1" customFormat="false" ht="35.05" hidden="false" customHeight="false" outlineLevel="0" collapsed="false">
      <c r="A1" s="3" t="s">
        <v>11</v>
      </c>
      <c r="B1" s="3" t="s">
        <v>13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</row>
    <row r="2" customFormat="false" ht="15" hidden="false" customHeight="false" outlineLevel="0" collapsed="false">
      <c r="A2" s="2" t="s">
        <v>91</v>
      </c>
      <c r="B2" s="2" t="s">
        <v>23</v>
      </c>
      <c r="C2" s="2" t="n">
        <v>25</v>
      </c>
      <c r="D2" s="2" t="n">
        <v>5</v>
      </c>
      <c r="E2" s="2" t="n">
        <v>25</v>
      </c>
      <c r="F2" s="2" t="s">
        <v>112</v>
      </c>
      <c r="G2" s="2" t="s">
        <v>113</v>
      </c>
    </row>
    <row r="3" customFormat="false" ht="15" hidden="false" customHeight="false" outlineLevel="0" collapsed="false">
      <c r="A3" s="2" t="s">
        <v>95</v>
      </c>
      <c r="B3" s="2" t="s">
        <v>30</v>
      </c>
      <c r="C3" s="2" t="n">
        <v>25</v>
      </c>
      <c r="D3" s="2" t="n">
        <v>5</v>
      </c>
      <c r="E3" s="2" t="n">
        <v>22</v>
      </c>
      <c r="F3" s="2" t="s">
        <v>114</v>
      </c>
      <c r="G3" s="2" t="s">
        <v>115</v>
      </c>
    </row>
    <row r="4" customFormat="false" ht="15" hidden="false" customHeight="false" outlineLevel="0" collapsed="false">
      <c r="A4" s="2" t="s">
        <v>98</v>
      </c>
      <c r="B4" s="2" t="s">
        <v>34</v>
      </c>
      <c r="C4" s="2" t="n">
        <v>25</v>
      </c>
      <c r="D4" s="2" t="n">
        <v>5</v>
      </c>
      <c r="E4" s="2" t="n">
        <v>25</v>
      </c>
      <c r="F4" s="2" t="s">
        <v>112</v>
      </c>
      <c r="G4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0" t="s">
        <v>117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118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</row>
    <row r="5" customFormat="false" ht="15" hidden="false" customHeight="false" outlineLevel="0" collapsed="false">
      <c r="A5" s="2" t="s">
        <v>125</v>
      </c>
      <c r="B5" s="2" t="n">
        <f aca="false">SUMIFS(Dados_Manual!$C:$C,Dados_Manual!$A:$A,"exp1-3_polling_manual")</f>
        <v>25</v>
      </c>
      <c r="C5" s="2" t="n">
        <f aca="false">SUMIFS(Dados_Manual!$D:$D,Dados_Manual!$A:$A,"exp1-3_polling_manual")</f>
        <v>5</v>
      </c>
      <c r="D5" s="2" t="n">
        <f aca="false">SUMIFS(Dados_Manual!$E:$E,Dados_Manual!$A:$A,"exp1-3_polling_manual")</f>
        <v>22</v>
      </c>
      <c r="E5" s="2" t="n">
        <f aca="false">B5-D5</f>
        <v>3</v>
      </c>
      <c r="F5" s="2" t="str">
        <f aca="false">INDEX(Dados_Manual!$G:$G,MATCH("exp1-3_polling_manual",Dados_Manual!$A:$A,0))</f>
        <v>576 / 1024</v>
      </c>
    </row>
    <row r="6" customFormat="false" ht="15" hidden="false" customHeight="false" outlineLevel="0" collapsed="false">
      <c r="A6" s="2" t="s">
        <v>126</v>
      </c>
      <c r="B6" s="2" t="n">
        <f aca="false">SUMIFS(Dados_Manual!$C:$C,Dados_Manual!$A:$A,"exp1-3_irq_thread_manual")</f>
        <v>25</v>
      </c>
      <c r="C6" s="2" t="n">
        <f aca="false">SUMIFS(Dados_Manual!$D:$D,Dados_Manual!$A:$A,"exp1-3_irq_thread_manual")</f>
        <v>5</v>
      </c>
      <c r="D6" s="2" t="n">
        <f aca="false">SUMIFS(Dados_Manual!$E:$E,Dados_Manual!$A:$A,"exp1-3_irq_thread_manual")</f>
        <v>25</v>
      </c>
      <c r="E6" s="2" t="n">
        <f aca="false">B6-D6</f>
        <v>0</v>
      </c>
      <c r="F6" s="2" t="str">
        <f aca="false">INDEX(Dados_Manual!$G:$G,MATCH("exp1-3_irq_thread_manual",Dados_Manual!$A:$A,0))</f>
        <v>560 / 1024</v>
      </c>
    </row>
    <row r="7" customFormat="false" ht="15" hidden="false" customHeight="false" outlineLevel="0" collapsed="false">
      <c r="A7" s="2" t="s">
        <v>127</v>
      </c>
      <c r="B7" s="2" t="n">
        <f aca="false">SUMIFS(Dados_Manual!$C:$C,Dados_Manual!$A:$A,"exp1-3_workqueue_manual")</f>
        <v>25</v>
      </c>
      <c r="C7" s="2" t="n">
        <f aca="false">SUMIFS(Dados_Manual!$D:$D,Dados_Manual!$A:$A,"exp1-3_workqueue_manual")</f>
        <v>5</v>
      </c>
      <c r="D7" s="2" t="n">
        <f aca="false">SUMIFS(Dados_Manual!$E:$E,Dados_Manual!$A:$A,"exp1-3_workqueue_manual")</f>
        <v>25</v>
      </c>
      <c r="E7" s="2" t="n">
        <f aca="false">B7-D7</f>
        <v>0</v>
      </c>
      <c r="F7" s="2" t="str">
        <f aca="false">INDEX(Dados_Manual!$G:$G,MATCH("exp1-3_workqueue_manual",Dados_Manual!$A:$A,0))</f>
        <v>608 / 1024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5" min="3" style="0" width="22"/>
  </cols>
  <sheetData>
    <row r="1" customFormat="false" ht="15" hidden="false" customHeight="false" outlineLevel="0" collapsed="false">
      <c r="A1" s="10" t="s">
        <v>128</v>
      </c>
      <c r="B1" s="2"/>
      <c r="C1" s="2"/>
      <c r="D1" s="2"/>
      <c r="E1" s="2"/>
    </row>
    <row r="2" customFormat="false" ht="15" hidden="false" customHeight="false" outlineLevel="0" collapsed="false">
      <c r="A2" s="2" t="s">
        <v>129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130</v>
      </c>
      <c r="B4" s="3" t="s">
        <v>131</v>
      </c>
      <c r="C4" s="3" t="s">
        <v>126</v>
      </c>
      <c r="D4" s="3" t="s">
        <v>127</v>
      </c>
      <c r="E4" s="2"/>
    </row>
    <row r="5" customFormat="false" ht="15" hidden="false" customHeight="false" outlineLevel="0" collapsed="false">
      <c r="A5" s="2" t="s">
        <v>132</v>
      </c>
      <c r="B5" s="4" t="n">
        <f aca="false">IFERROR(AVERAGEIFS(Dados_LAT!$J:$J,Dados_LAT!$A:$A,"exp4_polling",Dados_LAT!$D:$D,"lat_detect"),"sem amostras")</f>
        <v>8999.92</v>
      </c>
      <c r="C5" s="4" t="n">
        <f aca="false">IFERROR(AVERAGEIFS(Dados_LAT!$J:$J,Dados_LAT!$A:$A,"exp4_irq_thread",Dados_LAT!$D:$D,"lat_detect"),"sem amostras")</f>
        <v>1.104</v>
      </c>
      <c r="D5" s="4" t="n">
        <f aca="false">IFERROR(AVERAGEIFS(Dados_LAT!$J:$J,Dados_LAT!$A:$A,"exp4_workqueue",Dados_LAT!$D:$D,"lat_detect"),"sem amostras")</f>
        <v>1.1</v>
      </c>
      <c r="E5" s="2"/>
    </row>
    <row r="6" customFormat="false" ht="15" hidden="false" customHeight="false" outlineLevel="0" collapsed="false">
      <c r="A6" s="2" t="s">
        <v>133</v>
      </c>
      <c r="B6" s="4" t="n">
        <f aca="false">IFERROR(_xlfn.MAXIFS(Dados_LAT!$K:$K,Dados_LAT!$A:$A,"exp4_polling",Dados_LAT!$D:$D,"lat_detect"),"sem amostras")</f>
        <v>9000.008</v>
      </c>
      <c r="C6" s="4" t="n">
        <f aca="false">IFERROR(_xlfn.MAXIFS(Dados_LAT!$K:$K,Dados_LAT!$A:$A,"exp4_irq_thread",Dados_LAT!$D:$D,"lat_detect"),"sem amostras")</f>
        <v>1.104</v>
      </c>
      <c r="D6" s="4" t="n">
        <f aca="false">IFERROR(_xlfn.MAXIFS(Dados_LAT!$K:$K,Dados_LAT!$A:$A,"exp4_workqueue",Dados_LAT!$D:$D,"lat_detect"),"sem amostras")</f>
        <v>1.104</v>
      </c>
      <c r="E6" s="2"/>
    </row>
    <row r="7" customFormat="false" ht="15" hidden="false" customHeight="false" outlineLevel="0" collapsed="false">
      <c r="A7" s="2" t="s">
        <v>134</v>
      </c>
      <c r="B7" s="2" t="s">
        <v>135</v>
      </c>
      <c r="C7" s="4" t="n">
        <f aca="false">IFERROR(AVERAGEIFS(Dados_LAT!$J:$J,Dados_LAT!$A:$A,"exp4_irq_thread",Dados_LAT!$D:$D,"lat_handoff"),"sem amostras")</f>
        <v>3.316</v>
      </c>
      <c r="D7" s="4" t="n">
        <f aca="false">IFERROR(AVERAGEIFS(Dados_LAT!$J:$J,Dados_LAT!$A:$A,"exp4_workqueue",Dados_LAT!$D:$D,"lat_handoff"),"sem amostras")</f>
        <v>3.929</v>
      </c>
      <c r="E7" s="2"/>
    </row>
    <row r="8" customFormat="false" ht="15" hidden="false" customHeight="false" outlineLevel="0" collapsed="false">
      <c r="A8" s="2" t="s">
        <v>136</v>
      </c>
      <c r="B8" s="2" t="s">
        <v>135</v>
      </c>
      <c r="C8" s="4" t="n">
        <f aca="false">IFERROR(_xlfn.MAXIFS(Dados_LAT!$K:$K,Dados_LAT!$A:$A,"exp4_irq_thread",Dados_LAT!$D:$D,"lat_handoff"),"sem amostras")</f>
        <v>3.329</v>
      </c>
      <c r="D8" s="4" t="n">
        <f aca="false">IFERROR(_xlfn.MAXIFS(Dados_LAT!$K:$K,Dados_LAT!$A:$A,"exp4_workqueue",Dados_LAT!$D:$D,"lat_handoff"),"sem amostras")</f>
        <v>3.937</v>
      </c>
      <c r="E8" s="2"/>
    </row>
    <row r="9" customFormat="false" ht="15" hidden="false" customHeight="false" outlineLevel="0" collapsed="false">
      <c r="A9" s="2" t="s">
        <v>137</v>
      </c>
      <c r="B9" s="4" t="n">
        <f aca="false">IFERROR(AVERAGEIFS(Dados_LAT!$J:$J,Dados_LAT!$A:$A,"exp4_polling",Dados_LAT!$D:$D,"lat_process"),"sem amostras")</f>
        <v>8999.92</v>
      </c>
      <c r="C9" s="4" t="n">
        <f aca="false">IFERROR(AVERAGEIFS(Dados_LAT!$J:$J,Dados_LAT!$A:$A,"exp4_irq_thread",Dados_LAT!$D:$D,"lat_process"),"sem amostras")</f>
        <v>4.42</v>
      </c>
      <c r="D9" s="4" t="n">
        <f aca="false">IFERROR(AVERAGEIFS(Dados_LAT!$J:$J,Dados_LAT!$A:$A,"exp4_workqueue",Dados_LAT!$D:$D,"lat_process"),"sem amostras")</f>
        <v>5.033</v>
      </c>
      <c r="E9" s="2"/>
    </row>
    <row r="10" customFormat="false" ht="15" hidden="false" customHeight="false" outlineLevel="0" collapsed="false">
      <c r="A10" s="2" t="s">
        <v>138</v>
      </c>
      <c r="B10" s="4" t="n">
        <f aca="false">IFERROR(_xlfn.MAXIFS(Dados_LAT!$K:$K,Dados_LAT!$A:$A,"exp4_polling",Dados_LAT!$D:$D,"lat_process"),"sem amostras")</f>
        <v>9000.008</v>
      </c>
      <c r="C10" s="4" t="n">
        <f aca="false">IFERROR(_xlfn.MAXIFS(Dados_LAT!$K:$K,Dados_LAT!$A:$A,"exp4_irq_thread",Dados_LAT!$D:$D,"lat_process"),"sem amostras")</f>
        <v>4.433</v>
      </c>
      <c r="D10" s="4" t="n">
        <f aca="false">IFERROR(_xlfn.MAXIFS(Dados_LAT!$K:$K,Dados_LAT!$A:$A,"exp4_workqueue",Dados_LAT!$D:$D,"lat_process"),"sem amostras")</f>
        <v>5.041</v>
      </c>
      <c r="E10" s="2"/>
    </row>
    <row r="11" customFormat="false" ht="15" hidden="false" customHeight="false" outlineLevel="0" collapsed="false">
      <c r="A11" s="2" t="s">
        <v>139</v>
      </c>
      <c r="B11" s="4" t="n">
        <f aca="false">IFERROR(AVERAGEIFS(Dados_LAT!$J:$J,Dados_LAT!$A:$A,"exp4_polling",Dados_LAT!$D:$D,"lat_proc_dur"),"sem amostras")</f>
        <v>0.179</v>
      </c>
      <c r="C11" s="4" t="n">
        <f aca="false">IFERROR(AVERAGEIFS(Dados_LAT!$J:$J,Dados_LAT!$A:$A,"exp4_irq_thread",Dados_LAT!$D:$D,"lat_proc_dur"),"sem amostras")</f>
        <v>0.179</v>
      </c>
      <c r="D11" s="4" t="n">
        <f aca="false">IFERROR(AVERAGEIFS(Dados_LAT!$J:$J,Dados_LAT!$A:$A,"exp4_workqueue",Dados_LAT!$D:$D,"lat_proc_dur"),"sem amostras")</f>
        <v>0.179</v>
      </c>
      <c r="E11" s="2"/>
    </row>
    <row r="12" customFormat="false" ht="15" hidden="false" customHeight="false" outlineLevel="0" collapsed="false">
      <c r="A12" s="2" t="s">
        <v>140</v>
      </c>
      <c r="B12" s="4" t="n">
        <f aca="false">_xlfn.MAXIFS(Dados_LAT!$K:$K,Dados_LAT!$A:$A,"exp4_polling",Dados_LAT!$D:$D,"lat_process")-_xlfn.MINIFS(Dados_LAT!$I:$I,Dados_LAT!$A:$A,"exp4_polling",Dados_LAT!$D:$D,"lat_process")</f>
        <v>16.1499999999996</v>
      </c>
      <c r="C12" s="4" t="n">
        <f aca="false">_xlfn.MAXIFS(Dados_LAT!$K:$K,Dados_LAT!$A:$A,"exp4_irq_thread",Dados_LAT!$D:$D,"lat_process")-_xlfn.MINIFS(Dados_LAT!$I:$I,Dados_LAT!$A:$A,"exp4_irq_thread",Dados_LAT!$D:$D,"lat_process")</f>
        <v>0.0129999999999999</v>
      </c>
      <c r="D12" s="4" t="n">
        <f aca="false">_xlfn.MAXIFS(Dados_LAT!$K:$K,Dados_LAT!$A:$A,"exp4_workqueue",Dados_LAT!$D:$D,"lat_process")-_xlfn.MINIFS(Dados_LAT!$I:$I,Dados_LAT!$A:$A,"exp4_workqueue",Dados_LAT!$D:$D,"lat_process")</f>
        <v>0.00800000000000001</v>
      </c>
      <c r="E12" s="2"/>
    </row>
    <row r="13" customFormat="false" ht="15" hidden="false" customHeight="false" outlineLevel="0" collapsed="false">
      <c r="A13" s="2" t="s">
        <v>141</v>
      </c>
      <c r="B13" s="4" t="n">
        <f aca="false">_xlfn.MAXIFS(Dados_LAT!$J:$J,Dados_LAT!$A:$A,"exp4_polling",Dados_LAT!$D:$D,"lat_process")-_xlfn.MINIFS(Dados_LAT!$J:$J,Dados_LAT!$A:$A,"exp4_polling",Dados_LAT!$D:$D,"lat_process")</f>
        <v>0</v>
      </c>
      <c r="C13" s="4" t="n">
        <f aca="false">_xlfn.MAXIFS(Dados_LAT!$J:$J,Dados_LAT!$A:$A,"exp4_irq_thread",Dados_LAT!$D:$D,"lat_process")-_xlfn.MINIFS(Dados_LAT!$J:$J,Dados_LAT!$A:$A,"exp4_irq_thread",Dados_LAT!$D:$D,"lat_process")</f>
        <v>0</v>
      </c>
      <c r="D13" s="4" t="n">
        <f aca="false">_xlfn.MAXIFS(Dados_LAT!$J:$J,Dados_LAT!$A:$A,"exp4_workqueue",Dados_LAT!$D:$D,"lat_process")-_xlfn.MINIFS(Dados_LAT!$J:$J,Dados_LAT!$A:$A,"exp4_workqueue",Dados_LAT!$D:$D,"lat_process")</f>
        <v>0</v>
      </c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10" t="s">
        <v>142</v>
      </c>
      <c r="B15" s="2"/>
      <c r="C15" s="2"/>
      <c r="D15" s="2"/>
      <c r="E15" s="2"/>
    </row>
    <row r="16" customFormat="false" ht="15" hidden="false" customHeight="false" outlineLevel="0" collapsed="false">
      <c r="A16" s="2" t="s">
        <v>143</v>
      </c>
      <c r="B16" s="2"/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3" t="s">
        <v>144</v>
      </c>
      <c r="B18" s="3" t="s">
        <v>145</v>
      </c>
      <c r="C18" s="3" t="s">
        <v>146</v>
      </c>
      <c r="D18" s="3" t="s">
        <v>147</v>
      </c>
      <c r="E18" s="3" t="s">
        <v>148</v>
      </c>
    </row>
    <row r="19" customFormat="false" ht="15" hidden="false" customHeight="false" outlineLevel="0" collapsed="false">
      <c r="A19" s="2" t="s">
        <v>132</v>
      </c>
      <c r="B19" s="4" t="n">
        <f aca="false">IFERROR(AVERAGEIFS(Dados_LAT!$J:$J,Dados_LAT!$A:$A,"exp4_polling_periodo95",Dados_LAT!$D:$D,"lat_detect"),"sem amostras")</f>
        <v>6029.408</v>
      </c>
      <c r="C19" s="4" t="n">
        <f aca="false">IFERROR(AVERAGEIFS(Dados_LAT!$J:$J,Dados_LAT!$A:$A,"exp4_polling_cpi2",Dados_LAT!$D:$D,"lat_detect"),"sem amostras")</f>
        <v>8999.845</v>
      </c>
      <c r="D19" s="4" t="n">
        <f aca="false">IFERROR(AVERAGEIFS(Dados_LAT!$J:$J,Dados_LAT!$A:$A,"exp4_irq_thread_cpi2",Dados_LAT!$D:$D,"lat_detect"),"sem amostras")</f>
        <v>2.204</v>
      </c>
      <c r="E19" s="4" t="n">
        <f aca="false">IFERROR(AVERAGEIFS(Dados_LAT!$J:$J,Dados_LAT!$A:$A,"exp4_workqueue_cpi2",Dados_LAT!$D:$D,"lat_detect"),"sem amostras")</f>
        <v>2.204</v>
      </c>
    </row>
    <row r="20" customFormat="false" ht="15" hidden="false" customHeight="false" outlineLevel="0" collapsed="false">
      <c r="A20" s="2" t="s">
        <v>133</v>
      </c>
      <c r="B20" s="4" t="n">
        <f aca="false">IFERROR(_xlfn.MAXIFS(Dados_LAT!$K:$K,Dados_LAT!$A:$A,"exp4_polling_periodo95",Dados_LAT!$D:$D,"lat_detect"),"sem amostras")</f>
        <v>10994.308</v>
      </c>
      <c r="C20" s="4" t="n">
        <f aca="false">IFERROR(_xlfn.MAXIFS(Dados_LAT!$K:$K,Dados_LAT!$A:$A,"exp4_polling_cpi2",Dados_LAT!$D:$D,"lat_detect"),"sem amostras")</f>
        <v>9000.012</v>
      </c>
      <c r="D20" s="4" t="n">
        <f aca="false">IFERROR(_xlfn.MAXIFS(Dados_LAT!$K:$K,Dados_LAT!$A:$A,"exp4_irq_thread_cpi2",Dados_LAT!$D:$D,"lat_detect"),"sem amostras")</f>
        <v>2.208</v>
      </c>
      <c r="E20" s="4" t="n">
        <f aca="false">IFERROR(_xlfn.MAXIFS(Dados_LAT!$K:$K,Dados_LAT!$A:$A,"exp4_workqueue_cpi2",Dados_LAT!$D:$D,"lat_detect"),"sem amostras")</f>
        <v>2.208</v>
      </c>
    </row>
    <row r="21" customFormat="false" ht="15" hidden="false" customHeight="false" outlineLevel="0" collapsed="false">
      <c r="A21" s="2" t="s">
        <v>134</v>
      </c>
      <c r="B21" s="2" t="s">
        <v>135</v>
      </c>
      <c r="C21" s="2" t="s">
        <v>135</v>
      </c>
      <c r="D21" s="4" t="n">
        <f aca="false">IFERROR(AVERAGEIFS(Dados_LAT!$J:$J,Dados_LAT!$A:$A,"exp4_irq_thread_cpi2",Dados_LAT!$D:$D,"lat_handoff"),"sem amostras")</f>
        <v>6.637</v>
      </c>
      <c r="E21" s="4" t="n">
        <f aca="false">IFERROR(AVERAGEIFS(Dados_LAT!$J:$J,Dados_LAT!$A:$A,"exp4_workqueue_cpi2",Dados_LAT!$D:$D,"lat_handoff"),"sem amostras")</f>
        <v>7.862</v>
      </c>
    </row>
    <row r="22" customFormat="false" ht="15" hidden="false" customHeight="false" outlineLevel="0" collapsed="false">
      <c r="A22" s="2" t="s">
        <v>136</v>
      </c>
      <c r="B22" s="2" t="s">
        <v>135</v>
      </c>
      <c r="C22" s="2" t="s">
        <v>135</v>
      </c>
      <c r="D22" s="4" t="n">
        <f aca="false">IFERROR(_xlfn.MAXIFS(Dados_LAT!$K:$K,Dados_LAT!$A:$A,"exp4_irq_thread_cpi2",Dados_LAT!$D:$D,"lat_handoff"),"sem amostras")</f>
        <v>6.658</v>
      </c>
      <c r="E22" s="4" t="n">
        <f aca="false">IFERROR(_xlfn.MAXIFS(Dados_LAT!$K:$K,Dados_LAT!$A:$A,"exp4_workqueue_cpi2",Dados_LAT!$D:$D,"lat_handoff"),"sem amostras")</f>
        <v>7.879</v>
      </c>
    </row>
    <row r="23" customFormat="false" ht="15" hidden="false" customHeight="false" outlineLevel="0" collapsed="false">
      <c r="A23" s="2" t="s">
        <v>137</v>
      </c>
      <c r="B23" s="4" t="n">
        <f aca="false">IFERROR(AVERAGEIFS(Dados_LAT!$J:$J,Dados_LAT!$A:$A,"exp4_polling_periodo95",Dados_LAT!$D:$D,"lat_process"),"sem amostras")</f>
        <v>6029.408</v>
      </c>
      <c r="C23" s="4" t="n">
        <f aca="false">IFERROR(AVERAGEIFS(Dados_LAT!$J:$J,Dados_LAT!$A:$A,"exp4_polling_cpi2",Dados_LAT!$D:$D,"lat_process"),"sem amostras")</f>
        <v>8999.845</v>
      </c>
      <c r="D23" s="4" t="n">
        <f aca="false">IFERROR(AVERAGEIFS(Dados_LAT!$J:$J,Dados_LAT!$A:$A,"exp4_irq_thread_cpi2",Dados_LAT!$D:$D,"lat_process"),"sem amostras")</f>
        <v>8.845</v>
      </c>
      <c r="E23" s="4" t="n">
        <f aca="false">IFERROR(AVERAGEIFS(Dados_LAT!$J:$J,Dados_LAT!$A:$A,"exp4_workqueue_cpi2",Dados_LAT!$D:$D,"lat_process"),"sem amostras")</f>
        <v>10.07</v>
      </c>
    </row>
    <row r="24" customFormat="false" ht="15" hidden="false" customHeight="false" outlineLevel="0" collapsed="false">
      <c r="A24" s="2" t="s">
        <v>138</v>
      </c>
      <c r="B24" s="4" t="n">
        <f aca="false">IFERROR(_xlfn.MAXIFS(Dados_LAT!$K:$K,Dados_LAT!$A:$A,"exp4_polling_periodo95",Dados_LAT!$D:$D,"lat_process"),"sem amostras")</f>
        <v>10994.308</v>
      </c>
      <c r="C24" s="4" t="n">
        <f aca="false">IFERROR(_xlfn.MAXIFS(Dados_LAT!$K:$K,Dados_LAT!$A:$A,"exp4_polling_cpi2",Dados_LAT!$D:$D,"lat_process"),"sem amostras")</f>
        <v>9000.012</v>
      </c>
      <c r="D24" s="4" t="n">
        <f aca="false">IFERROR(_xlfn.MAXIFS(Dados_LAT!$K:$K,Dados_LAT!$A:$A,"exp4_irq_thread_cpi2",Dados_LAT!$D:$D,"lat_process"),"sem amostras")</f>
        <v>8.866</v>
      </c>
      <c r="E24" s="4" t="n">
        <f aca="false">IFERROR(_xlfn.MAXIFS(Dados_LAT!$K:$K,Dados_LAT!$A:$A,"exp4_workqueue_cpi2",Dados_LAT!$D:$D,"lat_process"),"sem amostras")</f>
        <v>10.087</v>
      </c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10" t="s">
        <v>149</v>
      </c>
      <c r="B26" s="2"/>
      <c r="C26" s="2"/>
      <c r="D26" s="2"/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3" t="s">
        <v>130</v>
      </c>
      <c r="B28" s="3" t="s">
        <v>125</v>
      </c>
      <c r="C28" s="3" t="s">
        <v>126</v>
      </c>
      <c r="D28" s="3" t="s">
        <v>127</v>
      </c>
      <c r="E28" s="2"/>
    </row>
    <row r="29" customFormat="false" ht="15" hidden="false" customHeight="false" outlineLevel="0" collapsed="false">
      <c r="A29" s="2" t="s">
        <v>150</v>
      </c>
      <c r="B29" s="5" t="n">
        <f aca="false">IFERROR(AVERAGEIFS(Dados_SUM!$H:$H,Dados_SUM!$A:$A,"exp4_polling"),"sem amostras")</f>
        <v>200</v>
      </c>
      <c r="C29" s="5" t="n">
        <f aca="false">IFERROR(AVERAGEIFS(Dados_SUM!$H:$H,Dados_SUM!$A:$A,"exp4_irq_thread"),"sem amostras")</f>
        <v>200</v>
      </c>
      <c r="D29" s="5" t="n">
        <f aca="false">IFERROR(AVERAGEIFS(Dados_SUM!$H:$H,Dados_SUM!$A:$A,"exp4_workqueue"),"sem amostras")</f>
        <v>200</v>
      </c>
      <c r="E29" s="2"/>
    </row>
    <row r="30" customFormat="false" ht="15" hidden="false" customHeight="false" outlineLevel="0" collapsed="false">
      <c r="A30" s="2" t="s">
        <v>151</v>
      </c>
      <c r="B30" s="5" t="n">
        <f aca="false">IFERROR(AVERAGEIFS(Dados_SUM!$I:$I,Dados_SUM!$A:$A,"exp4_polling"),"sem amostras")</f>
        <v>200</v>
      </c>
      <c r="C30" s="5" t="n">
        <f aca="false">IFERROR(AVERAGEIFS(Dados_SUM!$I:$I,Dados_SUM!$A:$A,"exp4_irq_thread"),"sem amostras")</f>
        <v>200</v>
      </c>
      <c r="D30" s="5" t="n">
        <f aca="false">IFERROR(AVERAGEIFS(Dados_SUM!$I:$I,Dados_SUM!$A:$A,"exp4_workqueue"),"sem amostras")</f>
        <v>200</v>
      </c>
      <c r="E30" s="2"/>
    </row>
    <row r="31" customFormat="false" ht="15" hidden="false" customHeight="false" outlineLevel="0" collapsed="false">
      <c r="A31" s="2" t="s">
        <v>152</v>
      </c>
      <c r="B31" s="5" t="n">
        <f aca="false">IFERROR(AVERAGEIFS(Dados_SUM!$J:$J,Dados_SUM!$A:$A,"exp4_polling"),"sem amostras")</f>
        <v>200</v>
      </c>
      <c r="C31" s="5" t="n">
        <f aca="false">IFERROR(AVERAGEIFS(Dados_SUM!$J:$J,Dados_SUM!$A:$A,"exp4_irq_thread"),"sem amostras")</f>
        <v>200</v>
      </c>
      <c r="D31" s="5" t="n">
        <f aca="false">IFERROR(AVERAGEIFS(Dados_SUM!$J:$J,Dados_SUM!$A:$A,"exp4_workqueue"),"sem amostras")</f>
        <v>200</v>
      </c>
      <c r="E31" s="2"/>
    </row>
    <row r="32" customFormat="false" ht="15" hidden="false" customHeight="false" outlineLevel="0" collapsed="false">
      <c r="A32" s="2" t="s">
        <v>153</v>
      </c>
      <c r="B32" s="5" t="n">
        <f aca="false">IFERROR(AVERAGEIFS(Dados_SUM!$O:$O,Dados_SUM!$A:$A,"exp4_polling"),"sem amostras")</f>
        <v>0</v>
      </c>
      <c r="C32" s="5" t="n">
        <f aca="false">IFERROR(AVERAGEIFS(Dados_SUM!$O:$O,Dados_SUM!$A:$A,"exp4_irq_thread"),"sem amostras")</f>
        <v>0</v>
      </c>
      <c r="D32" s="5" t="n">
        <f aca="false">IFERROR(AVERAGEIFS(Dados_SUM!$O:$O,Dados_SUM!$A:$A,"exp4_workqueue"),"sem amostras")</f>
        <v>0</v>
      </c>
      <c r="E32" s="2"/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10" t="s">
        <v>154</v>
      </c>
      <c r="B34" s="2"/>
      <c r="C34" s="2"/>
      <c r="D34" s="2"/>
      <c r="E34" s="2"/>
    </row>
    <row r="35" customFormat="false" ht="15" hidden="false" customHeight="false" outlineLevel="0" collapsed="false">
      <c r="A35" s="2"/>
      <c r="B35" s="2"/>
      <c r="C35" s="2"/>
      <c r="D35" s="2"/>
      <c r="E35" s="2"/>
    </row>
    <row r="36" customFormat="false" ht="15" hidden="false" customHeight="false" outlineLevel="0" collapsed="false">
      <c r="A36" s="3" t="s">
        <v>130</v>
      </c>
      <c r="B36" s="3" t="s">
        <v>125</v>
      </c>
      <c r="C36" s="3" t="s">
        <v>126</v>
      </c>
      <c r="D36" s="3" t="s">
        <v>127</v>
      </c>
      <c r="E36" s="2"/>
    </row>
    <row r="37" customFormat="false" ht="15" hidden="false" customHeight="false" outlineLevel="0" collapsed="false">
      <c r="A37" s="2" t="s">
        <v>155</v>
      </c>
      <c r="B37" s="7" t="n">
        <f aca="false">IFERROR(AVERAGEIFS(Dados_SUM!$Q:$Q,Dados_SUM!$A:$A,"exp4_polling"),"sem amostras")</f>
        <v>0.0002</v>
      </c>
      <c r="C37" s="7" t="n">
        <f aca="false">IFERROR(AVERAGEIFS(Dados_SUM!$Q:$Q,Dados_SUM!$A:$A,"exp4_irq_thread"),"sem amostras")</f>
        <v>0.0001</v>
      </c>
      <c r="D37" s="7" t="n">
        <f aca="false">IFERROR(AVERAGEIFS(Dados_SUM!$Q:$Q,Dados_SUM!$A:$A,"exp4_workqueue"),"sem amostras")</f>
        <v>0.0001</v>
      </c>
      <c r="E37" s="2"/>
    </row>
    <row r="38" customFormat="false" ht="15" hidden="false" customHeight="false" outlineLevel="0" collapsed="false">
      <c r="A38" s="2" t="s">
        <v>156</v>
      </c>
      <c r="B38" s="7" t="n">
        <f aca="false">IFERROR(AVERAGEIFS(Dados_SUM!$R:$R,Dados_SUM!$A:$A,"exp4_polling"),"sem amostras")</f>
        <v>0</v>
      </c>
      <c r="C38" s="7" t="n">
        <f aca="false">IFERROR(AVERAGEIFS(Dados_SUM!$R:$R,Dados_SUM!$A:$A,"exp4_irq_thread"),"sem amostras")</f>
        <v>0</v>
      </c>
      <c r="D38" s="7" t="n">
        <f aca="false">IFERROR(AVERAGEIFS(Dados_SUM!$R:$R,Dados_SUM!$A:$A,"exp4_workqueue"),"sem amostras")</f>
        <v>0</v>
      </c>
      <c r="E38" s="2"/>
    </row>
    <row r="39" customFormat="false" ht="15" hidden="false" customHeight="false" outlineLevel="0" collapsed="false">
      <c r="A39" s="2" t="s">
        <v>157</v>
      </c>
      <c r="B39" s="8" t="n">
        <f aca="false">IFERROR(AVERAGEIFS(Dados_Threads!$H:$H,Dados_Threads!$A:$A,"exp4_polling",Dados_Threads!$C:$C,"idle"),"sem amostras")</f>
        <v>0.99</v>
      </c>
      <c r="C39" s="8" t="n">
        <f aca="false">IFERROR(AVERAGEIFS(Dados_Threads!$H:$H,Dados_Threads!$A:$A,"exp4_irq_thread",Dados_Threads!$C:$C,"idle"),"sem amostras")</f>
        <v>0.99</v>
      </c>
      <c r="D39" s="8" t="n">
        <f aca="false">IFERROR(AVERAGEIFS(Dados_Threads!$H:$H,Dados_Threads!$A:$A,"exp4_workqueue",Dados_Threads!$C:$C,"idle"),"sem amostras")</f>
        <v>0.99</v>
      </c>
      <c r="E39" s="2"/>
    </row>
    <row r="40" customFormat="false" ht="15" hidden="false" customHeight="false" outlineLevel="0" collapsed="false">
      <c r="A40" s="2" t="s">
        <v>158</v>
      </c>
      <c r="B40" s="8" t="n">
        <f aca="false">IFERROR(AVERAGEIFS(Dados_Threads!$H:$H,Dados_Threads!$A:$A,"exp4_polling",Dados_Threads!$C:$C,"poll"),"sem amostras")</f>
        <v>0</v>
      </c>
      <c r="C40" s="8" t="n">
        <f aca="false">IFERROR(AVERAGEIFS(Dados_Threads!$H:$H,Dados_Threads!$A:$A,"exp4_irq_thread",Dados_Threads!$C:$C,"worker"),"sem amostras")</f>
        <v>0</v>
      </c>
      <c r="D40" s="8" t="n">
        <f aca="false">IFERROR(AVERAGEIFS(Dados_Threads!$H:$H,Dados_Threads!$A:$A,"exp4_workqueue",Dados_Threads!$C:$C,"sysworkq"),"sem amostras")</f>
        <v>0</v>
      </c>
      <c r="E40" s="2"/>
    </row>
    <row r="41" customFormat="false" ht="15" hidden="false" customHeight="false" outlineLevel="0" collapsed="false">
      <c r="A41" s="2" t="s">
        <v>159</v>
      </c>
      <c r="B41" s="8" t="n">
        <f aca="false">IFERROR(AVERAGEIFS(Dados_Threads!$H:$H,Dados_Threads!$A:$A,"exp4_polling",Dados_Threads!$C:$C,"main"),"sem amostras")</f>
        <v>0</v>
      </c>
      <c r="C41" s="8" t="n">
        <f aca="false">IFERROR(AVERAGEIFS(Dados_Threads!$H:$H,Dados_Threads!$A:$A,"exp4_irq_thread",Dados_Threads!$C:$C,"main"),"sem amostras")</f>
        <v>0</v>
      </c>
      <c r="D41" s="8" t="n">
        <f aca="false">IFERROR(AVERAGEIFS(Dados_Threads!$H:$H,Dados_Threads!$A:$A,"exp4_workqueue",Dados_Threads!$C:$C,"main"),"sem amostras")</f>
        <v>0</v>
      </c>
      <c r="E41" s="2"/>
    </row>
    <row r="42" customFormat="false" ht="15" hidden="false" customHeight="false" outlineLevel="0" collapsed="false">
      <c r="A42" s="2"/>
      <c r="B42" s="2"/>
      <c r="C42" s="2"/>
      <c r="D42" s="2"/>
      <c r="E42" s="2"/>
    </row>
    <row r="43" customFormat="false" ht="15" hidden="false" customHeight="false" outlineLevel="0" collapsed="false">
      <c r="A43" s="10" t="s">
        <v>160</v>
      </c>
      <c r="B43" s="2"/>
      <c r="C43" s="2"/>
      <c r="D43" s="2"/>
      <c r="E43" s="2"/>
    </row>
    <row r="44" customFormat="false" ht="15" hidden="false" customHeight="false" outlineLevel="0" collapsed="false">
      <c r="A44" s="2" t="s">
        <v>161</v>
      </c>
      <c r="B44" s="2"/>
      <c r="C44" s="2"/>
      <c r="D44" s="2"/>
      <c r="E44" s="2"/>
    </row>
    <row r="45" customFormat="false" ht="15" hidden="false" customHeight="false" outlineLevel="0" collapsed="false">
      <c r="A45" s="2"/>
      <c r="B45" s="2"/>
      <c r="C45" s="2"/>
      <c r="D45" s="2"/>
      <c r="E45" s="2"/>
    </row>
    <row r="46" customFormat="false" ht="15" hidden="false" customHeight="false" outlineLevel="0" collapsed="false">
      <c r="A46" s="3" t="s">
        <v>130</v>
      </c>
      <c r="B46" s="3" t="s">
        <v>125</v>
      </c>
      <c r="C46" s="3" t="s">
        <v>126</v>
      </c>
      <c r="D46" s="3" t="s">
        <v>127</v>
      </c>
      <c r="E46" s="2"/>
    </row>
    <row r="47" customFormat="false" ht="15" hidden="false" customHeight="false" outlineLevel="0" collapsed="false">
      <c r="A47" s="2" t="s">
        <v>162</v>
      </c>
      <c r="B47" s="9" t="n">
        <f aca="false">INDEX(Dados_Memoria!$B:$B,MATCH("exp4_polling",Dados_Memoria!$A:$A,0))</f>
        <v>146416</v>
      </c>
      <c r="C47" s="9" t="n">
        <f aca="false">INDEX(Dados_Memoria!$B:$B,MATCH("exp4_irq_thread",Dados_Memoria!$A:$A,0))</f>
        <v>146560</v>
      </c>
      <c r="D47" s="9" t="n">
        <f aca="false">INDEX(Dados_Memoria!$B:$B,MATCH("exp4_workqueue",Dados_Memoria!$A:$A,0))</f>
        <v>146496</v>
      </c>
      <c r="E47" s="2"/>
    </row>
    <row r="48" customFormat="false" ht="15" hidden="false" customHeight="false" outlineLevel="0" collapsed="false">
      <c r="A48" s="2" t="s">
        <v>163</v>
      </c>
      <c r="B48" s="9" t="n">
        <f aca="false">INDEX(Dados_Memoria!$D:$D,MATCH("exp4_polling",Dados_Memoria!$A:$A,0))</f>
        <v>12488</v>
      </c>
      <c r="C48" s="9" t="n">
        <f aca="false">INDEX(Dados_Memoria!$D:$D,MATCH("exp4_irq_thread",Dados_Memoria!$A:$A,0))</f>
        <v>12520</v>
      </c>
      <c r="D48" s="9" t="n">
        <f aca="false">INDEX(Dados_Memoria!$D:$D,MATCH("exp4_workqueue",Dados_Memoria!$A:$A,0))</f>
        <v>12560</v>
      </c>
      <c r="E48" s="2"/>
    </row>
    <row r="49" customFormat="false" ht="15" hidden="false" customHeight="false" outlineLevel="0" collapsed="false">
      <c r="A49" s="2" t="s">
        <v>164</v>
      </c>
      <c r="B49" s="9" t="n">
        <f aca="false">INDEX(Dados_Memoria!$E:$E,MATCH("exp4_polling",Dados_Memoria!$A:$A,0))</f>
        <v>8192</v>
      </c>
      <c r="C49" s="9" t="n">
        <f aca="false">INDEX(Dados_Memoria!$E:$E,MATCH("exp4_irq_thread",Dados_Memoria!$A:$A,0))</f>
        <v>8192</v>
      </c>
      <c r="D49" s="9" t="n">
        <f aca="false">INDEX(Dados_Memoria!$E:$E,MATCH("exp4_workqueue",Dados_Memoria!$A:$A,0))</f>
        <v>8192</v>
      </c>
      <c r="E49" s="2"/>
    </row>
    <row r="50" customFormat="false" ht="15" hidden="false" customHeight="false" outlineLevel="0" collapsed="false">
      <c r="A50" s="2" t="s">
        <v>165</v>
      </c>
      <c r="B50" s="9" t="n">
        <f aca="false">INDEX(Dados_Memoria!$F:$F,MATCH("exp4_polling",Dados_Memoria!$A:$A,0))</f>
        <v>20680</v>
      </c>
      <c r="C50" s="9" t="n">
        <f aca="false">INDEX(Dados_Memoria!$F:$F,MATCH("exp4_irq_thread",Dados_Memoria!$A:$A,0))</f>
        <v>20712</v>
      </c>
      <c r="D50" s="9" t="n">
        <f aca="false">INDEX(Dados_Memoria!$F:$F,MATCH("exp4_workqueue",Dados_Memoria!$A:$A,0))</f>
        <v>20752</v>
      </c>
      <c r="E50" s="2"/>
    </row>
    <row r="51" customFormat="false" ht="15" hidden="false" customHeight="false" outlineLevel="0" collapsed="false">
      <c r="A51" s="2" t="s">
        <v>166</v>
      </c>
      <c r="B51" s="9" t="n">
        <f aca="false">INDEX(Dados_Memoria!$C:$C,MATCH("exp4_polling",Dados_Memoria!$A:$A,0))</f>
        <v>35072</v>
      </c>
      <c r="C51" s="9" t="n">
        <f aca="false">INDEX(Dados_Memoria!$C:$C,MATCH("exp4_irq_thread",Dados_Memoria!$A:$A,0))</f>
        <v>35584</v>
      </c>
      <c r="D51" s="9" t="n">
        <f aca="false">INDEX(Dados_Memoria!$C:$C,MATCH("exp4_workqueue",Dados_Memoria!$A:$A,0))</f>
        <v>36352</v>
      </c>
      <c r="E51" s="2"/>
    </row>
    <row r="52" customFormat="false" ht="15" hidden="false" customHeight="false" outlineLevel="0" collapsed="false">
      <c r="A52" s="2" t="s">
        <v>167</v>
      </c>
      <c r="B52" s="9" t="str">
        <f aca="false">IFERROR(TEXT(_xlfn.MAXIFS(Dados_Threads!$D:$D,Dados_Threads!$A:$A,"exp4_polling",Dados_Threads!$C:$C,"poll"),"0")&amp;" / "&amp;TEXT(_xlfn.MAXIFS(Dados_Threads!$E:$E,Dados_Threads!$A:$A,"exp4_polling",Dados_Threads!$C:$C,"poll"),"0"),"n/a")</f>
        <v>256 / 1024</v>
      </c>
      <c r="C52" s="9" t="str">
        <f aca="false">IFERROR(TEXT(_xlfn.MAXIFS(Dados_Threads!$D:$D,Dados_Threads!$A:$A,"exp4_irq_thread",Dados_Threads!$C:$C,"worker"),"0")&amp;" / "&amp;TEXT(_xlfn.MAXIFS(Dados_Threads!$E:$E,Dados_Threads!$A:$A,"exp4_irq_thread",Dados_Threads!$C:$C,"worker"),"0"),"n/a")</f>
        <v>288 / 1024</v>
      </c>
      <c r="D52" s="9" t="s">
        <v>168</v>
      </c>
      <c r="E52" s="2"/>
    </row>
    <row r="53" customFormat="false" ht="15" hidden="false" customHeight="false" outlineLevel="0" collapsed="false">
      <c r="A53" s="2" t="s">
        <v>169</v>
      </c>
      <c r="B53" s="9" t="s">
        <v>170</v>
      </c>
      <c r="C53" s="9" t="s">
        <v>170</v>
      </c>
      <c r="D53" s="9" t="str">
        <f aca="false">IFERROR(TEXT(_xlfn.MAXIFS(Dados_Threads!$D:$D,Dados_Threads!$A:$A,"exp4_workqueue",Dados_Threads!$C:$C,"sysworkq"),"0")&amp;" / "&amp;TEXT(_xlfn.MAXIFS(Dados_Threads!$E:$E,Dados_Threads!$A:$A,"exp4_workqueue",Dados_Threads!$C:$C,"sysworkq"),"0"),"n/a")</f>
        <v>304 / 1024</v>
      </c>
      <c r="E53" s="2"/>
    </row>
    <row r="54" customFormat="false" ht="15" hidden="false" customHeight="false" outlineLevel="0" collapsed="false">
      <c r="A54" s="2" t="s">
        <v>171</v>
      </c>
      <c r="B54" s="9" t="str">
        <f aca="false">IFERROR(TEXT(_xlfn.MAXIFS(Dados_Threads!$D:$D,Dados_Threads!$A:$A,"exp4_polling",Dados_Threads!$C:$C,"ISR0"),"0")&amp;" / "&amp;TEXT(_xlfn.MAXIFS(Dados_Threads!$E:$E,Dados_Threads!$A:$A,"exp4_polling",Dados_Threads!$C:$C,"ISR0"),"0"),"n/a")</f>
        <v>352 / 2048</v>
      </c>
      <c r="C54" s="9" t="str">
        <f aca="false">IFERROR(TEXT(_xlfn.MAXIFS(Dados_Threads!$D:$D,Dados_Threads!$A:$A,"exp4_irq_thread",Dados_Threads!$C:$C,"ISR0"),"0")&amp;" / "&amp;TEXT(_xlfn.MAXIFS(Dados_Threads!$E:$E,Dados_Threads!$A:$A,"exp4_irq_thread",Dados_Threads!$C:$C,"ISR0"),"0"),"n/a")</f>
        <v>368 / 2048</v>
      </c>
      <c r="D54" s="9" t="str">
        <f aca="false">IFERROR(TEXT(_xlfn.MAXIFS(Dados_Threads!$D:$D,Dados_Threads!$A:$A,"exp4_workqueue",Dados_Threads!$C:$C,"ISR0"),"0")&amp;" / "&amp;TEXT(_xlfn.MAXIFS(Dados_Threads!$E:$E,Dados_Threads!$A:$A,"exp4_workqueue",Dados_Threads!$C:$C,"ISR0"),"0"),"n/a")</f>
        <v>480 / 2048</v>
      </c>
      <c r="E54" s="2"/>
    </row>
    <row r="55" customFormat="false" ht="15" hidden="false" customHeight="false" outlineLevel="0" collapsed="false">
      <c r="A55" s="2" t="s">
        <v>172</v>
      </c>
      <c r="B55" s="9" t="str">
        <f aca="false">IFERROR(TEXT(_xlfn.MAXIFS(Dados_Threads!$D:$D,Dados_Threads!$A:$A,"exp4_polling",Dados_Threads!$C:$C,"main"),"0")&amp;" / "&amp;TEXT(_xlfn.MAXIFS(Dados_Threads!$E:$E,Dados_Threads!$A:$A,"exp4_polling",Dados_Threads!$C:$C,"main"),"0"),"n/a")</f>
        <v>1024 / 4096</v>
      </c>
      <c r="C55" s="9" t="str">
        <f aca="false">IFERROR(TEXT(_xlfn.MAXIFS(Dados_Threads!$D:$D,Dados_Threads!$A:$A,"exp4_irq_thread",Dados_Threads!$C:$C,"main"),"0")&amp;" / "&amp;TEXT(_xlfn.MAXIFS(Dados_Threads!$E:$E,Dados_Threads!$A:$A,"exp4_irq_thread",Dados_Threads!$C:$C,"main"),"0"),"n/a")</f>
        <v>1024 / 4096</v>
      </c>
      <c r="D55" s="9" t="str">
        <f aca="false">IFERROR(TEXT(_xlfn.MAXIFS(Dados_Threads!$D:$D,Dados_Threads!$A:$A,"exp4_workqueue",Dados_Threads!$C:$C,"main"),"0")&amp;" / "&amp;TEXT(_xlfn.MAXIFS(Dados_Threads!$E:$E,Dados_Threads!$A:$A,"exp4_workqueue",Dados_Threads!$C:$C,"main"),"0"),"n/a")</f>
        <v>1024 / 4096</v>
      </c>
      <c r="E55" s="2"/>
    </row>
    <row r="56" customFormat="false" ht="15" hidden="false" customHeight="false" outlineLevel="0" collapsed="false">
      <c r="A56" s="2" t="s">
        <v>173</v>
      </c>
      <c r="B56" s="2" t="s">
        <v>174</v>
      </c>
      <c r="C56" s="2" t="s">
        <v>174</v>
      </c>
      <c r="D56" s="2" t="s">
        <v>174</v>
      </c>
      <c r="E56" s="2"/>
    </row>
    <row r="57" customFormat="false" ht="15" hidden="false" customHeight="false" outlineLevel="0" collapsed="false">
      <c r="A57" s="2" t="s">
        <v>175</v>
      </c>
      <c r="B57" s="2" t="n">
        <v>0</v>
      </c>
      <c r="C57" s="9" t="n">
        <f aca="false">C47-$B$47</f>
        <v>144</v>
      </c>
      <c r="D57" s="9" t="n">
        <f aca="false">D47-$B$47</f>
        <v>80</v>
      </c>
      <c r="E57" s="2"/>
    </row>
    <row r="58" customFormat="false" ht="15" hidden="false" customHeight="false" outlineLevel="0" collapsed="false">
      <c r="A58" s="2" t="s">
        <v>176</v>
      </c>
      <c r="B58" s="2" t="n">
        <v>0</v>
      </c>
      <c r="C58" s="9" t="n">
        <f aca="false">C50-$B$50</f>
        <v>32</v>
      </c>
      <c r="D58" s="9" t="n">
        <f aca="false">D50-$B$50</f>
        <v>72</v>
      </c>
      <c r="E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0" t="s">
        <v>177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 t="s">
        <v>178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179</v>
      </c>
      <c r="B4" s="3" t="s">
        <v>180</v>
      </c>
      <c r="C4" s="3" t="s">
        <v>181</v>
      </c>
      <c r="D4" s="3" t="s">
        <v>182</v>
      </c>
      <c r="E4" s="3" t="s">
        <v>83</v>
      </c>
      <c r="F4" s="3" t="s">
        <v>151</v>
      </c>
      <c r="G4" s="3" t="s">
        <v>150</v>
      </c>
      <c r="H4" s="3" t="s">
        <v>183</v>
      </c>
    </row>
    <row r="5" customFormat="false" ht="15" hidden="false" customHeight="false" outlineLevel="0" collapsed="false">
      <c r="A5" s="2" t="n">
        <v>1</v>
      </c>
      <c r="B5" s="2" t="n">
        <v>20</v>
      </c>
      <c r="C5" s="4" t="n">
        <f aca="false">IFERROR(AVERAGEIFS(Dados_LAT!$J:$J,Dados_LAT!$A:$A,"exp5_poll1_pulse20",Dados_LAT!$D:$D,"lat_detect"),"sem amostras")</f>
        <v>1497.07</v>
      </c>
      <c r="D5" s="4" t="n">
        <f aca="false">IFERROR(_xlfn.MAXIFS(Dados_LAT!$K:$K,Dados_LAT!$A:$A,"exp5_poll1_pulse20",Dados_LAT!$D:$D,"lat_detect"),"sem amostras")</f>
        <v>1994.308</v>
      </c>
      <c r="E5" s="7" t="n">
        <f aca="false">IFERROR(AVERAGEIFS(Dados_SUM!$Q:$Q,Dados_SUM!$A:$A,"exp5_poll1_pulse20"),"sem amostras")</f>
        <v>0.0012</v>
      </c>
      <c r="F5" s="5" t="n">
        <f aca="false">IFERROR(AVERAGEIFS(Dados_SUM!$I:$I,Dados_SUM!$A:$A,"exp5_poll1_pulse20"),"sem amostras")</f>
        <v>200</v>
      </c>
      <c r="G5" s="5" t="n">
        <f aca="false">IFERROR(AVERAGEIFS(Dados_SUM!$H:$H,Dados_SUM!$A:$A,"exp5_poll1_pulse20"),"sem amostras")</f>
        <v>200</v>
      </c>
      <c r="H5" s="6" t="n">
        <f aca="false">IFERROR(AVERAGEIFS(Dados_SUM!$P:$P,Dados_SUM!$A:$A,"exp5_poll1_pulse20"),"sem amostras")</f>
        <v>0</v>
      </c>
    </row>
    <row r="6" customFormat="false" ht="15" hidden="false" customHeight="false" outlineLevel="0" collapsed="false">
      <c r="A6" s="2" t="n">
        <v>5</v>
      </c>
      <c r="B6" s="2" t="n">
        <v>20</v>
      </c>
      <c r="C6" s="4" t="n">
        <f aca="false">IFERROR(AVERAGEIFS(Dados_LAT!$J:$J,Dados_LAT!$A:$A,"exp5_poll5_pulse20",Dados_LAT!$D:$D,"lat_detect"),"sem amostras")</f>
        <v>3478.979</v>
      </c>
      <c r="D6" s="4" t="n">
        <f aca="false">IFERROR(_xlfn.MAXIFS(Dados_LAT!$K:$K,Dados_LAT!$A:$A,"exp5_poll5_pulse20",Dados_LAT!$D:$D,"lat_detect"),"sem amostras")</f>
        <v>5994.308</v>
      </c>
      <c r="E6" s="7" t="n">
        <f aca="false">IFERROR(AVERAGEIFS(Dados_SUM!$Q:$Q,Dados_SUM!$A:$A,"exp5_poll5_pulse20"),"sem amostras")</f>
        <v>0.0004</v>
      </c>
      <c r="F6" s="5" t="n">
        <f aca="false">IFERROR(AVERAGEIFS(Dados_SUM!$I:$I,Dados_SUM!$A:$A,"exp5_poll5_pulse20"),"sem amostras")</f>
        <v>200</v>
      </c>
      <c r="G6" s="5" t="n">
        <f aca="false">IFERROR(AVERAGEIFS(Dados_SUM!$H:$H,Dados_SUM!$A:$A,"exp5_poll5_pulse20"),"sem amostras")</f>
        <v>200</v>
      </c>
      <c r="H6" s="6" t="n">
        <f aca="false">IFERROR(AVERAGEIFS(Dados_SUM!$P:$P,Dados_SUM!$A:$A,"exp5_poll5_pulse20"),"sem amostras")</f>
        <v>0</v>
      </c>
    </row>
    <row r="7" customFormat="false" ht="15" hidden="false" customHeight="false" outlineLevel="0" collapsed="false">
      <c r="A7" s="2" t="n">
        <v>10</v>
      </c>
      <c r="B7" s="2" t="n">
        <v>20</v>
      </c>
      <c r="C7" s="4" t="n">
        <f aca="false">IFERROR(AVERAGEIFS(Dados_LAT!$J:$J,Dados_LAT!$A:$A,"exp5_poll10_pulse20",Dados_LAT!$D:$D,"lat_detect"),"sem amostras")</f>
        <v>6029.408</v>
      </c>
      <c r="D7" s="4" t="n">
        <f aca="false">IFERROR(_xlfn.MAXIFS(Dados_LAT!$K:$K,Dados_LAT!$A:$A,"exp5_poll10_pulse20",Dados_LAT!$D:$D,"lat_detect"),"sem amostras")</f>
        <v>10994.308</v>
      </c>
      <c r="E7" s="7" t="n">
        <f aca="false">IFERROR(AVERAGEIFS(Dados_SUM!$Q:$Q,Dados_SUM!$A:$A,"exp5_poll10_pulse20"),"sem amostras")</f>
        <v>0.0002</v>
      </c>
      <c r="F7" s="5" t="n">
        <f aca="false">IFERROR(AVERAGEIFS(Dados_SUM!$I:$I,Dados_SUM!$A:$A,"exp5_poll10_pulse20"),"sem amostras")</f>
        <v>200</v>
      </c>
      <c r="G7" s="5" t="n">
        <f aca="false">IFERROR(AVERAGEIFS(Dados_SUM!$H:$H,Dados_SUM!$A:$A,"exp5_poll10_pulse20"),"sem amostras")</f>
        <v>200</v>
      </c>
      <c r="H7" s="6" t="n">
        <f aca="false">IFERROR(AVERAGEIFS(Dados_SUM!$P:$P,Dados_SUM!$A:$A,"exp5_poll10_pulse20"),"sem amostras")</f>
        <v>0</v>
      </c>
    </row>
    <row r="8" customFormat="false" ht="15" hidden="false" customHeight="false" outlineLevel="0" collapsed="false">
      <c r="A8" s="2" t="n">
        <v>50</v>
      </c>
      <c r="B8" s="2" t="n">
        <v>20</v>
      </c>
      <c r="C8" s="4" t="n">
        <f aca="false">IFERROR(AVERAGEIFS(Dados_LAT!$J:$J,Dados_LAT!$A:$A,"exp5_poll50_pulse20",Dados_LAT!$D:$D,"lat_detect"),"sem amostras")</f>
        <v>10875.058</v>
      </c>
      <c r="D8" s="4" t="n">
        <f aca="false">IFERROR(_xlfn.MAXIFS(Dados_LAT!$K:$K,Dados_LAT!$A:$A,"exp5_poll50_pulse20",Dados_LAT!$D:$D,"lat_detect"),"sem amostras")</f>
        <v>21001.508</v>
      </c>
      <c r="E8" s="7" t="n">
        <f aca="false">IFERROR(AVERAGEIFS(Dados_SUM!$Q:$Q,Dados_SUM!$A:$A,"exp5_poll50_pulse20"),"sem amostras")</f>
        <v>0</v>
      </c>
      <c r="F8" s="5" t="n">
        <f aca="false">IFERROR(AVERAGEIFS(Dados_SUM!$I:$I,Dados_SUM!$A:$A,"exp5_poll50_pulse20"),"sem amostras")</f>
        <v>80</v>
      </c>
      <c r="G8" s="5" t="n">
        <f aca="false">IFERROR(AVERAGEIFS(Dados_SUM!$H:$H,Dados_SUM!$A:$A,"exp5_poll50_pulse20"),"sem amostras")</f>
        <v>200</v>
      </c>
      <c r="H8" s="6" t="n">
        <f aca="false">IFERROR(AVERAGEIFS(Dados_SUM!$P:$P,Dados_SUM!$A:$A,"exp5_poll50_pulse20"),"sem amostras")</f>
        <v>0.6</v>
      </c>
    </row>
    <row r="9" customFormat="false" ht="15" hidden="false" customHeight="false" outlineLevel="0" collapsed="false">
      <c r="A9" s="2" t="n">
        <v>100</v>
      </c>
      <c r="B9" s="2" t="n">
        <v>20</v>
      </c>
      <c r="C9" s="4" t="n">
        <f aca="false">IFERROR(AVERAGEIFS(Dados_LAT!$J:$J,Dados_LAT!$A:$A,"exp5_poll100_pulse20",Dados_LAT!$D:$D,"lat_detect"),"sem amostras")</f>
        <v>4442.65</v>
      </c>
      <c r="D9" s="4" t="n">
        <f aca="false">IFERROR(_xlfn.MAXIFS(Dados_LAT!$K:$K,Dados_LAT!$A:$A,"exp5_poll100_pulse20",Dados_LAT!$D:$D,"lat_detect"),"sem amostras")</f>
        <v>19983.854</v>
      </c>
      <c r="E9" s="7" t="n">
        <f aca="false">IFERROR(AVERAGEIFS(Dados_SUM!$Q:$Q,Dados_SUM!$A:$A,"exp5_poll100_pulse20"),"sem amostras")</f>
        <v>0</v>
      </c>
      <c r="F9" s="5" t="n">
        <f aca="false">IFERROR(AVERAGEIFS(Dados_SUM!$I:$I,Dados_SUM!$A:$A,"exp5_poll100_pulse20"),"sem amostras")</f>
        <v>9</v>
      </c>
      <c r="G9" s="5" t="n">
        <f aca="false">IFERROR(AVERAGEIFS(Dados_SUM!$H:$H,Dados_SUM!$A:$A,"exp5_poll100_pulse20"),"sem amostras")</f>
        <v>200</v>
      </c>
      <c r="H9" s="6" t="n">
        <f aca="false">IFERROR(AVERAGEIFS(Dados_SUM!$P:$P,Dados_SUM!$A:$A,"exp5_poll100_pulse20"),"sem amostras")</f>
        <v>0.955</v>
      </c>
    </row>
    <row r="10" customFormat="false" ht="15" hidden="false" customHeight="false" outlineLevel="0" collapsed="false">
      <c r="A10" s="2" t="n">
        <v>1</v>
      </c>
      <c r="B10" s="2" t="n">
        <v>5</v>
      </c>
      <c r="C10" s="4" t="n">
        <f aca="false">IFERROR(AVERAGEIFS(Dados_LAT!$J:$J,Dados_LAT!$A:$A,"exp5_poll1_pulse5",Dados_LAT!$D:$D,"lat_detect"),"sem amostras")</f>
        <v>1497.075</v>
      </c>
      <c r="D10" s="4" t="n">
        <f aca="false">IFERROR(_xlfn.MAXIFS(Dados_LAT!$K:$K,Dados_LAT!$A:$A,"exp5_poll1_pulse5",Dados_LAT!$D:$D,"lat_detect"),"sem amostras")</f>
        <v>1994.308</v>
      </c>
      <c r="E10" s="7" t="n">
        <f aca="false">IFERROR(AVERAGEIFS(Dados_SUM!$Q:$Q,Dados_SUM!$A:$A,"exp5_poll1_pulse5"),"sem amostras")</f>
        <v>0.0012</v>
      </c>
      <c r="F10" s="5" t="n">
        <f aca="false">IFERROR(AVERAGEIFS(Dados_SUM!$I:$I,Dados_SUM!$A:$A,"exp5_poll1_pulse5"),"sem amostras")</f>
        <v>200</v>
      </c>
      <c r="G10" s="5" t="n">
        <f aca="false">IFERROR(AVERAGEIFS(Dados_SUM!$H:$H,Dados_SUM!$A:$A,"exp5_poll1_pulse5"),"sem amostras")</f>
        <v>200</v>
      </c>
      <c r="H10" s="6" t="n">
        <f aca="false">IFERROR(AVERAGEIFS(Dados_SUM!$P:$P,Dados_SUM!$A:$A,"exp5_poll1_pulse5"),"sem amostras")</f>
        <v>0</v>
      </c>
    </row>
    <row r="11" customFormat="false" ht="15" hidden="false" customHeight="false" outlineLevel="0" collapsed="false">
      <c r="A11" s="2" t="n">
        <v>5</v>
      </c>
      <c r="B11" s="2" t="n">
        <v>5</v>
      </c>
      <c r="C11" s="4" t="n">
        <f aca="false">IFERROR(AVERAGEIFS(Dados_LAT!$J:$J,Dados_LAT!$A:$A,"exp5_poll5_pulse5",Dados_LAT!$D:$D,"lat_detect"),"sem amostras")</f>
        <v>3479.229</v>
      </c>
      <c r="D11" s="4" t="n">
        <f aca="false">IFERROR(_xlfn.MAXIFS(Dados_LAT!$K:$K,Dados_LAT!$A:$A,"exp5_poll5_pulse5",Dados_LAT!$D:$D,"lat_detect"),"sem amostras")</f>
        <v>5995.82</v>
      </c>
      <c r="E11" s="7" t="n">
        <f aca="false">IFERROR(AVERAGEIFS(Dados_SUM!$Q:$Q,Dados_SUM!$A:$A,"exp5_poll5_pulse5"),"sem amostras")</f>
        <v>0.0004</v>
      </c>
      <c r="F11" s="5" t="n">
        <f aca="false">IFERROR(AVERAGEIFS(Dados_SUM!$I:$I,Dados_SUM!$A:$A,"exp5_poll5_pulse5"),"sem amostras")</f>
        <v>200</v>
      </c>
      <c r="G11" s="5" t="n">
        <f aca="false">IFERROR(AVERAGEIFS(Dados_SUM!$H:$H,Dados_SUM!$A:$A,"exp5_poll5_pulse5"),"sem amostras")</f>
        <v>200</v>
      </c>
      <c r="H11" s="6" t="n">
        <f aca="false">IFERROR(AVERAGEIFS(Dados_SUM!$P:$P,Dados_SUM!$A:$A,"exp5_poll5_pulse5"),"sem amostras")</f>
        <v>0</v>
      </c>
    </row>
    <row r="12" customFormat="false" ht="15" hidden="false" customHeight="false" outlineLevel="0" collapsed="false">
      <c r="A12" s="2" t="n">
        <v>10</v>
      </c>
      <c r="B12" s="2" t="n">
        <v>5</v>
      </c>
      <c r="C12" s="4" t="n">
        <f aca="false">IFERROR(AVERAGEIFS(Dados_LAT!$J:$J,Dados_LAT!$A:$A,"exp5_poll10_pulse5",Dados_LAT!$D:$D,"lat_detect"),"sem amostras")</f>
        <v>3500.254</v>
      </c>
      <c r="D12" s="4" t="n">
        <f aca="false">IFERROR(_xlfn.MAXIFS(Dados_LAT!$K:$K,Dados_LAT!$A:$A,"exp5_poll10_pulse5",Dados_LAT!$D:$D,"lat_detect"),"sem amostras")</f>
        <v>6001.516</v>
      </c>
      <c r="E12" s="7" t="n">
        <f aca="false">IFERROR(AVERAGEIFS(Dados_SUM!$Q:$Q,Dados_SUM!$A:$A,"exp5_poll10_pulse5"),"sem amostras")</f>
        <v>0.0002</v>
      </c>
      <c r="F12" s="5" t="n">
        <f aca="false">IFERROR(AVERAGEIFS(Dados_SUM!$I:$I,Dados_SUM!$A:$A,"exp5_poll10_pulse5"),"sem amostras")</f>
        <v>108</v>
      </c>
      <c r="G12" s="5" t="n">
        <f aca="false">IFERROR(AVERAGEIFS(Dados_SUM!$H:$H,Dados_SUM!$A:$A,"exp5_poll10_pulse5"),"sem amostras")</f>
        <v>200</v>
      </c>
      <c r="H12" s="6" t="n">
        <f aca="false">IFERROR(AVERAGEIFS(Dados_SUM!$P:$P,Dados_SUM!$A:$A,"exp5_poll10_pulse5"),"sem amostras")</f>
        <v>0.46</v>
      </c>
    </row>
    <row r="13" customFormat="false" ht="15" hidden="false" customHeight="false" outlineLevel="0" collapsed="false">
      <c r="A13" s="2" t="n">
        <v>50</v>
      </c>
      <c r="B13" s="2" t="n">
        <v>5</v>
      </c>
      <c r="C13" s="4" t="n">
        <f aca="false">IFERROR(AVERAGEIFS(Dados_LAT!$J:$J,Dados_LAT!$A:$A,"exp5_poll50_pulse5",Dados_LAT!$D:$D,"lat_detect"),"sem amostras")</f>
        <v>3391.504</v>
      </c>
      <c r="D13" s="4" t="n">
        <f aca="false">IFERROR(_xlfn.MAXIFS(Dados_LAT!$K:$K,Dados_LAT!$A:$A,"exp5_poll50_pulse5",Dados_LAT!$D:$D,"lat_detect"),"sem amostras")</f>
        <v>6001.516</v>
      </c>
      <c r="E13" s="7" t="n">
        <f aca="false">IFERROR(AVERAGEIFS(Dados_SUM!$Q:$Q,Dados_SUM!$A:$A,"exp5_poll50_pulse5"),"sem amostras")</f>
        <v>0</v>
      </c>
      <c r="F13" s="5" t="n">
        <f aca="false">IFERROR(AVERAGEIFS(Dados_SUM!$I:$I,Dados_SUM!$A:$A,"exp5_poll50_pulse5"),"sem amostras")</f>
        <v>23</v>
      </c>
      <c r="G13" s="5" t="n">
        <f aca="false">IFERROR(AVERAGEIFS(Dados_SUM!$H:$H,Dados_SUM!$A:$A,"exp5_poll50_pulse5"),"sem amostras")</f>
        <v>200</v>
      </c>
      <c r="H13" s="6" t="n">
        <f aca="false">IFERROR(AVERAGEIFS(Dados_SUM!$P:$P,Dados_SUM!$A:$A,"exp5_poll50_pulse5"),"sem amostras")</f>
        <v>0.885</v>
      </c>
    </row>
    <row r="14" customFormat="false" ht="15" hidden="false" customHeight="false" outlineLevel="0" collapsed="false">
      <c r="A14" s="2" t="n">
        <v>100</v>
      </c>
      <c r="B14" s="2" t="n">
        <v>5</v>
      </c>
      <c r="C14" s="4" t="n">
        <f aca="false">IFERROR(AVERAGEIFS(Dados_LAT!$J:$J,Dados_LAT!$A:$A,"exp5_poll100_pulse5",Dados_LAT!$D:$D,"lat_detect"),"sem amostras")</f>
        <v>2500</v>
      </c>
      <c r="D14" s="4" t="n">
        <f aca="false">IFERROR(_xlfn.MAXIFS(Dados_LAT!$K:$K,Dados_LAT!$A:$A,"exp5_poll100_pulse5",Dados_LAT!$D:$D,"lat_detect"),"sem amostras")</f>
        <v>4000.004</v>
      </c>
      <c r="E14" s="7" t="n">
        <f aca="false">IFERROR(AVERAGEIFS(Dados_SUM!$Q:$Q,Dados_SUM!$A:$A,"exp5_poll100_pulse5"),"sem amostras")</f>
        <v>0</v>
      </c>
      <c r="F14" s="5" t="n">
        <f aca="false">IFERROR(AVERAGEIFS(Dados_SUM!$I:$I,Dados_SUM!$A:$A,"exp5_poll100_pulse5"),"sem amostras")</f>
        <v>8</v>
      </c>
      <c r="G14" s="5" t="n">
        <f aca="false">IFERROR(AVERAGEIFS(Dados_SUM!$H:$H,Dados_SUM!$A:$A,"exp5_poll100_pulse5"),"sem amostras")</f>
        <v>200</v>
      </c>
      <c r="H14" s="6" t="n">
        <f aca="false">IFERROR(AVERAGEIFS(Dados_SUM!$P:$P,Dados_SUM!$A:$A,"exp5_poll100_pulse5"),"sem amostras")</f>
        <v>0.96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0" t="s">
        <v>184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185</v>
      </c>
      <c r="B3" s="3" t="s">
        <v>119</v>
      </c>
      <c r="C3" s="3" t="s">
        <v>83</v>
      </c>
      <c r="D3" s="3" t="s">
        <v>84</v>
      </c>
      <c r="E3" s="3" t="s">
        <v>186</v>
      </c>
      <c r="F3" s="3" t="s">
        <v>153</v>
      </c>
    </row>
    <row r="4" customFormat="false" ht="15" hidden="false" customHeight="false" outlineLevel="0" collapsed="false">
      <c r="A4" s="9" t="n">
        <v>0</v>
      </c>
      <c r="B4" s="2" t="s">
        <v>126</v>
      </c>
      <c r="C4" s="7" t="n">
        <f aca="false">IFERROR(AVERAGEIFS(Dados_SUM!$Q:$Q,Dados_SUM!$A:$A,"exp6a_irq_thread_proc0"),"sem amostras")</f>
        <v>0.0001</v>
      </c>
      <c r="D4" s="7" t="n">
        <f aca="false">IFERROR(AVERAGEIFS(Dados_SUM!$R:$R,Dados_SUM!$A:$A,"exp6a_irq_thread_proc0"),"sem amostras")</f>
        <v>0</v>
      </c>
      <c r="E4" s="4" t="n">
        <f aca="false">IFERROR(AVERAGEIFS(Dados_LAT!$J:$J,Dados_LAT!$A:$A,"exp6a_irq_thread_proc0",Dados_LAT!$D:$D,"lat_process"),"sem amostras")</f>
        <v>4.42</v>
      </c>
      <c r="F4" s="5" t="n">
        <f aca="false">IFERROR(AVERAGEIFS(Dados_SUM!$O:$O,Dados_SUM!$A:$A,"exp6a_irq_thread_proc0"),"sem amostras")</f>
        <v>0</v>
      </c>
    </row>
    <row r="5" customFormat="false" ht="15" hidden="false" customHeight="false" outlineLevel="0" collapsed="false">
      <c r="A5" s="9" t="n">
        <v>0</v>
      </c>
      <c r="B5" s="2" t="s">
        <v>127</v>
      </c>
      <c r="C5" s="7" t="n">
        <f aca="false">IFERROR(AVERAGEIFS(Dados_SUM!$Q:$Q,Dados_SUM!$A:$A,"exp6a_workqueue_proc0"),"sem amostras")</f>
        <v>0.0001</v>
      </c>
      <c r="D5" s="7" t="n">
        <f aca="false">IFERROR(AVERAGEIFS(Dados_SUM!$R:$R,Dados_SUM!$A:$A,"exp6a_workqueue_proc0"),"sem amostras")</f>
        <v>0</v>
      </c>
      <c r="E5" s="4" t="n">
        <f aca="false">IFERROR(AVERAGEIFS(Dados_LAT!$J:$J,Dados_LAT!$A:$A,"exp6a_workqueue_proc0",Dados_LAT!$D:$D,"lat_process"),"sem amostras")</f>
        <v>5.033</v>
      </c>
      <c r="F5" s="5" t="n">
        <f aca="false">IFERROR(AVERAGEIFS(Dados_SUM!$O:$O,Dados_SUM!$A:$A,"exp6a_workqueue_proc0"),"sem amostras")</f>
        <v>0</v>
      </c>
    </row>
    <row r="6" customFormat="false" ht="15" hidden="false" customHeight="false" outlineLevel="0" collapsed="false">
      <c r="A6" s="9" t="n">
        <v>1000</v>
      </c>
      <c r="B6" s="2" t="s">
        <v>126</v>
      </c>
      <c r="C6" s="7" t="n">
        <f aca="false">IFERROR(AVERAGEIFS(Dados_SUM!$Q:$Q,Dados_SUM!$A:$A,"exp6a_irq_thread_proc1000"),"sem amostras")</f>
        <v>0.01</v>
      </c>
      <c r="D6" s="7" t="n">
        <f aca="false">IFERROR(AVERAGEIFS(Dados_SUM!$R:$R,Dados_SUM!$A:$A,"exp6a_irq_thread_proc1000"),"sem amostras")</f>
        <v>0.0099</v>
      </c>
      <c r="E6" s="4" t="n">
        <f aca="false">IFERROR(AVERAGEIFS(Dados_LAT!$J:$J,Dados_LAT!$A:$A,"exp6a_irq_thread_proc1000",Dados_LAT!$D:$D,"lat_process"),"sem amostras")</f>
        <v>4.42</v>
      </c>
      <c r="F6" s="5" t="n">
        <f aca="false">IFERROR(AVERAGEIFS(Dados_SUM!$O:$O,Dados_SUM!$A:$A,"exp6a_irq_thread_proc1000"),"sem amostras")</f>
        <v>0</v>
      </c>
    </row>
    <row r="7" customFormat="false" ht="15" hidden="false" customHeight="false" outlineLevel="0" collapsed="false">
      <c r="A7" s="9" t="n">
        <v>1000</v>
      </c>
      <c r="B7" s="2" t="s">
        <v>127</v>
      </c>
      <c r="C7" s="7" t="n">
        <f aca="false">IFERROR(AVERAGEIFS(Dados_SUM!$Q:$Q,Dados_SUM!$A:$A,"exp6a_workqueue_proc1000"),"sem amostras")</f>
        <v>0.01</v>
      </c>
      <c r="D7" s="7" t="n">
        <f aca="false">IFERROR(AVERAGEIFS(Dados_SUM!$R:$R,Dados_SUM!$A:$A,"exp6a_workqueue_proc1000"),"sem amostras")</f>
        <v>0.0099</v>
      </c>
      <c r="E7" s="4" t="n">
        <f aca="false">IFERROR(AVERAGEIFS(Dados_LAT!$J:$J,Dados_LAT!$A:$A,"exp6a_workqueue_proc1000",Dados_LAT!$D:$D,"lat_process"),"sem amostras")</f>
        <v>5.033</v>
      </c>
      <c r="F7" s="5" t="n">
        <f aca="false">IFERROR(AVERAGEIFS(Dados_SUM!$O:$O,Dados_SUM!$A:$A,"exp6a_workqueue_proc1000"),"sem amostras")</f>
        <v>0</v>
      </c>
    </row>
    <row r="8" customFormat="false" ht="15" hidden="false" customHeight="false" outlineLevel="0" collapsed="false">
      <c r="A8" s="9" t="n">
        <v>10000</v>
      </c>
      <c r="B8" s="2" t="s">
        <v>126</v>
      </c>
      <c r="C8" s="7" t="n">
        <f aca="false">IFERROR(AVERAGEIFS(Dados_SUM!$Q:$Q,Dados_SUM!$A:$A,"exp6a_irq_thread_proc10000"),"sem amostras")</f>
        <v>0.0913</v>
      </c>
      <c r="D8" s="7" t="n">
        <f aca="false">IFERROR(AVERAGEIFS(Dados_SUM!$R:$R,Dados_SUM!$A:$A,"exp6a_irq_thread_proc10000"),"sem amostras")</f>
        <v>0.0912</v>
      </c>
      <c r="E8" s="4" t="n">
        <f aca="false">IFERROR(AVERAGEIFS(Dados_LAT!$J:$J,Dados_LAT!$A:$A,"exp6a_irq_thread_proc10000",Dados_LAT!$D:$D,"lat_process"),"sem amostras")</f>
        <v>4.42</v>
      </c>
      <c r="F8" s="5" t="n">
        <f aca="false">IFERROR(AVERAGEIFS(Dados_SUM!$O:$O,Dados_SUM!$A:$A,"exp6a_irq_thread_proc10000"),"sem amostras")</f>
        <v>0</v>
      </c>
    </row>
    <row r="9" customFormat="false" ht="15" hidden="false" customHeight="false" outlineLevel="0" collapsed="false">
      <c r="A9" s="9" t="n">
        <v>10000</v>
      </c>
      <c r="B9" s="2" t="s">
        <v>127</v>
      </c>
      <c r="C9" s="7" t="n">
        <f aca="false">IFERROR(AVERAGEIFS(Dados_SUM!$Q:$Q,Dados_SUM!$A:$A,"exp6a_workqueue_proc10000"),"sem amostras")</f>
        <v>0.0913</v>
      </c>
      <c r="D9" s="7" t="n">
        <f aca="false">IFERROR(AVERAGEIFS(Dados_SUM!$R:$R,Dados_SUM!$A:$A,"exp6a_workqueue_proc10000"),"sem amostras")</f>
        <v>0.0912</v>
      </c>
      <c r="E9" s="4" t="n">
        <f aca="false">IFERROR(AVERAGEIFS(Dados_LAT!$J:$J,Dados_LAT!$A:$A,"exp6a_workqueue_proc10000",Dados_LAT!$D:$D,"lat_process"),"sem amostras")</f>
        <v>5.033</v>
      </c>
      <c r="F9" s="5" t="n">
        <f aca="false">IFERROR(AVERAGEIFS(Dados_SUM!$O:$O,Dados_SUM!$A:$A,"exp6a_workqueue_proc10000"),"sem amostras")</f>
        <v>0</v>
      </c>
    </row>
    <row r="10" customFormat="false" ht="15" hidden="false" customHeight="false" outlineLevel="0" collapsed="false">
      <c r="A10" s="9" t="n">
        <v>50000</v>
      </c>
      <c r="B10" s="2" t="s">
        <v>126</v>
      </c>
      <c r="C10" s="7" t="n">
        <f aca="false">IFERROR(AVERAGEIFS(Dados_SUM!$Q:$Q,Dados_SUM!$A:$A,"exp6a_irq_thread_proc50000"),"sem amostras")</f>
        <v>0.3339</v>
      </c>
      <c r="D10" s="7" t="n">
        <f aca="false">IFERROR(AVERAGEIFS(Dados_SUM!$R:$R,Dados_SUM!$A:$A,"exp6a_irq_thread_proc50000"),"sem amostras")</f>
        <v>0.3338</v>
      </c>
      <c r="E10" s="4" t="n">
        <f aca="false">IFERROR(AVERAGEIFS(Dados_LAT!$J:$J,Dados_LAT!$A:$A,"exp6a_irq_thread_proc50000",Dados_LAT!$D:$D,"lat_process"),"sem amostras")</f>
        <v>4.425</v>
      </c>
      <c r="F10" s="5" t="n">
        <f aca="false">IFERROR(AVERAGEIFS(Dados_SUM!$O:$O,Dados_SUM!$A:$A,"exp6a_irq_thread_proc50000"),"sem amostras")</f>
        <v>0</v>
      </c>
    </row>
    <row r="11" customFormat="false" ht="15" hidden="false" customHeight="false" outlineLevel="0" collapsed="false">
      <c r="A11" s="9" t="n">
        <v>50000</v>
      </c>
      <c r="B11" s="2" t="s">
        <v>127</v>
      </c>
      <c r="C11" s="7" t="n">
        <f aca="false">IFERROR(AVERAGEIFS(Dados_SUM!$Q:$Q,Dados_SUM!$A:$A,"exp6a_workqueue_proc50000"),"sem amostras")</f>
        <v>0.3339</v>
      </c>
      <c r="D11" s="7" t="n">
        <f aca="false">IFERROR(AVERAGEIFS(Dados_SUM!$R:$R,Dados_SUM!$A:$A,"exp6a_workqueue_proc50000"),"sem amostras")</f>
        <v>0.3338</v>
      </c>
      <c r="E11" s="4" t="n">
        <f aca="false">IFERROR(AVERAGEIFS(Dados_LAT!$J:$J,Dados_LAT!$A:$A,"exp6a_workqueue_proc50000",Dados_LAT!$D:$D,"lat_process"),"sem amostras")</f>
        <v>5.033</v>
      </c>
      <c r="F11" s="5" t="n">
        <f aca="false">IFERROR(AVERAGEIFS(Dados_SUM!$O:$O,Dados_SUM!$A:$A,"exp6a_workqueue_proc50000"),"sem amostras")</f>
        <v>0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10" t="s">
        <v>187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23.85" hidden="false" customHeight="false" outlineLevel="0" collapsed="false">
      <c r="A16" s="3" t="s">
        <v>119</v>
      </c>
      <c r="B16" s="3" t="s">
        <v>150</v>
      </c>
      <c r="C16" s="3" t="s">
        <v>151</v>
      </c>
      <c r="D16" s="3" t="s">
        <v>152</v>
      </c>
      <c r="E16" s="3" t="s">
        <v>183</v>
      </c>
      <c r="F16" s="3" t="s">
        <v>83</v>
      </c>
    </row>
    <row r="17" customFormat="false" ht="15" hidden="false" customHeight="false" outlineLevel="0" collapsed="false">
      <c r="A17" s="2" t="s">
        <v>131</v>
      </c>
      <c r="B17" s="5" t="n">
        <f aca="false">IFERROR(AVERAGEIFS(Dados_SUM!$H:$H,Dados_SUM!$A:$A,"exp6b_polling_saturacao"),"sem amostras")</f>
        <v>200</v>
      </c>
      <c r="C17" s="5" t="n">
        <f aca="false">IFERROR(AVERAGEIFS(Dados_SUM!$I:$I,Dados_SUM!$A:$A,"exp6b_polling_saturacao"),"sem amostras")</f>
        <v>75</v>
      </c>
      <c r="D17" s="5" t="n">
        <f aca="false">IFERROR(AVERAGEIFS(Dados_SUM!$J:$J,Dados_SUM!$A:$A,"exp6b_polling_saturacao"),"sem amostras")</f>
        <v>75</v>
      </c>
      <c r="E17" s="6" t="n">
        <f aca="false">IFERROR(AVERAGEIFS(Dados_SUM!$P:$P,Dados_SUM!$A:$A,"exp6b_polling_saturacao"),"sem amostras")</f>
        <v>0.625</v>
      </c>
      <c r="F17" s="7" t="n">
        <f aca="false">IFERROR(AVERAGEIFS(Dados_SUM!$Q:$Q,Dados_SUM!$A:$A,"exp6b_polling_saturacao"),"sem amostras")</f>
        <v>0.4387</v>
      </c>
    </row>
    <row r="18" customFormat="false" ht="15" hidden="false" customHeight="false" outlineLevel="0" collapsed="false">
      <c r="A18" s="2" t="s">
        <v>126</v>
      </c>
      <c r="B18" s="5" t="n">
        <f aca="false">IFERROR(AVERAGEIFS(Dados_SUM!$H:$H,Dados_SUM!$A:$A,"exp6b_irq_thread_saturacao"),"sem amostras")</f>
        <v>200</v>
      </c>
      <c r="C18" s="5" t="n">
        <f aca="false">IFERROR(AVERAGEIFS(Dados_SUM!$I:$I,Dados_SUM!$A:$A,"exp6b_irq_thread_saturacao"),"sem amostras")</f>
        <v>200</v>
      </c>
      <c r="D18" s="5" t="n">
        <f aca="false">IFERROR(AVERAGEIFS(Dados_SUM!$J:$J,Dados_SUM!$A:$A,"exp6b_irq_thread_saturacao"),"sem amostras")</f>
        <v>167</v>
      </c>
      <c r="E18" s="6" t="n">
        <f aca="false">IFERROR(AVERAGEIFS(Dados_SUM!$P:$P,Dados_SUM!$A:$A,"exp6b_irq_thread_saturacao"),"sem amostras")</f>
        <v>0.165</v>
      </c>
      <c r="F18" s="7" t="n">
        <f aca="false">IFERROR(AVERAGEIFS(Dados_SUM!$Q:$Q,Dados_SUM!$A:$A,"exp6b_irq_thread_saturacao"),"sem amostras")</f>
        <v>0.9764</v>
      </c>
    </row>
    <row r="19" customFormat="false" ht="15" hidden="false" customHeight="false" outlineLevel="0" collapsed="false">
      <c r="A19" s="2" t="s">
        <v>127</v>
      </c>
      <c r="B19" s="5" t="n">
        <f aca="false">IFERROR(AVERAGEIFS(Dados_SUM!$H:$H,Dados_SUM!$A:$A,"exp6b_workqueue_saturacao"),"sem amostras")</f>
        <v>200</v>
      </c>
      <c r="C19" s="5" t="n">
        <f aca="false">IFERROR(AVERAGEIFS(Dados_SUM!$I:$I,Dados_SUM!$A:$A,"exp6b_workqueue_saturacao"),"sem amostras")</f>
        <v>200</v>
      </c>
      <c r="D19" s="5" t="n">
        <f aca="false">IFERROR(AVERAGEIFS(Dados_SUM!$J:$J,Dados_SUM!$A:$A,"exp6b_workqueue_saturacao"),"sem amostras")</f>
        <v>167</v>
      </c>
      <c r="E19" s="6" t="n">
        <f aca="false">IFERROR(AVERAGEIFS(Dados_SUM!$P:$P,Dados_SUM!$A:$A,"exp6b_workqueue_saturacao"),"sem amostras")</f>
        <v>0.165</v>
      </c>
      <c r="F19" s="7" t="n">
        <f aca="false">IFERROR(AVERAGEIFS(Dados_SUM!$Q:$Q,Dados_SUM!$A:$A,"exp6b_workqueue_saturacao"),"sem amostras")</f>
        <v>0.9764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0" t="s">
        <v>188</v>
      </c>
      <c r="B1" s="2"/>
      <c r="C1" s="2"/>
      <c r="D1" s="2"/>
      <c r="E1" s="2"/>
    </row>
    <row r="2" customFormat="false" ht="15" hidden="false" customHeight="false" outlineLevel="0" collapsed="false">
      <c r="A2" s="2" t="s">
        <v>189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3.85" hidden="false" customHeight="false" outlineLevel="0" collapsed="false">
      <c r="A4" s="3" t="s">
        <v>190</v>
      </c>
      <c r="B4" s="3" t="s">
        <v>191</v>
      </c>
      <c r="C4" s="3" t="s">
        <v>155</v>
      </c>
      <c r="D4" s="3" t="s">
        <v>84</v>
      </c>
      <c r="E4" s="3" t="s">
        <v>153</v>
      </c>
    </row>
    <row r="5" customFormat="false" ht="15" hidden="false" customHeight="false" outlineLevel="0" collapsed="false">
      <c r="A5" s="2" t="s">
        <v>192</v>
      </c>
      <c r="B5" s="11" t="n">
        <f aca="false">IFERROR(AVERAGEIFS(Dados_SUM!$N:$N,Dados_SUM!$A:$A,"exp7_isr_only_hb"),"sem amostras")</f>
        <v>21</v>
      </c>
      <c r="C5" s="7" t="n">
        <f aca="false">IFERROR(AVERAGEIFS(Dados_SUM!$Q:$Q,Dados_SUM!$A:$A,"exp7_isr_only_hb"),"sem amostras")</f>
        <v>0.0012</v>
      </c>
      <c r="D5" s="7" t="n">
        <f aca="false">IFERROR(AVERAGEIFS(Dados_SUM!$R:$R,Dados_SUM!$A:$A,"exp7_isr_only_hb"),"sem amostras")</f>
        <v>0.1672</v>
      </c>
      <c r="E5" s="5" t="n">
        <f aca="false">IFERROR(AVERAGEIFS(Dados_SUM!$O:$O,Dados_SUM!$A:$A,"exp7_isr_only_hb"),"sem amostras")</f>
        <v>0</v>
      </c>
    </row>
    <row r="6" customFormat="false" ht="15" hidden="false" customHeight="false" outlineLevel="0" collapsed="false">
      <c r="A6" s="2" t="s">
        <v>126</v>
      </c>
      <c r="B6" s="11" t="n">
        <f aca="false">IFERROR(AVERAGEIFS(Dados_SUM!$N:$N,Dados_SUM!$A:$A,"exp7_irq_thread_hb"),"sem amostras")</f>
        <v>2</v>
      </c>
      <c r="C6" s="7" t="n">
        <f aca="false">IFERROR(AVERAGEIFS(Dados_SUM!$Q:$Q,Dados_SUM!$A:$A,"exp7_irq_thread_hb"),"sem amostras")</f>
        <v>0.1682</v>
      </c>
      <c r="D6" s="7" t="n">
        <f aca="false">IFERROR(AVERAGEIFS(Dados_SUM!$R:$R,Dados_SUM!$A:$A,"exp7_irq_thread_hb"),"sem amostras")</f>
        <v>0.1672</v>
      </c>
      <c r="E6" s="5" t="n">
        <f aca="false">IFERROR(AVERAGEIFS(Dados_SUM!$O:$O,Dados_SUM!$A:$A,"exp7_irq_thread_hb"),"sem amostras")</f>
        <v>0</v>
      </c>
    </row>
    <row r="7" customFormat="false" ht="15" hidden="false" customHeight="false" outlineLevel="0" collapsed="false">
      <c r="A7" s="2" t="s">
        <v>127</v>
      </c>
      <c r="B7" s="11" t="n">
        <f aca="false">IFERROR(AVERAGEIFS(Dados_SUM!$N:$N,Dados_SUM!$A:$A,"exp7_workqueue_hb"),"sem amostras")</f>
        <v>2</v>
      </c>
      <c r="C7" s="7" t="n">
        <f aca="false">IFERROR(AVERAGEIFS(Dados_SUM!$Q:$Q,Dados_SUM!$A:$A,"exp7_workqueue_hb"),"sem amostras")</f>
        <v>0.1682</v>
      </c>
      <c r="D7" s="7" t="n">
        <f aca="false">IFERROR(AVERAGEIFS(Dados_SUM!$R:$R,Dados_SUM!$A:$A,"exp7_workqueue_hb"),"sem amostras")</f>
        <v>0.1672</v>
      </c>
      <c r="E7" s="5" t="n">
        <f aca="false">IFERROR(AVERAGEIFS(Dados_SUM!$O:$O,Dados_SUM!$A:$A,"exp7_workqueue_hb"),"sem amostras")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12" min="9" style="0" width="12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10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3.85" hidden="false" customHeight="false" outlineLevel="0" collapsed="false">
      <c r="A4" s="3" t="s">
        <v>195</v>
      </c>
      <c r="B4" s="3" t="s">
        <v>196</v>
      </c>
      <c r="C4" s="3" t="s">
        <v>150</v>
      </c>
      <c r="D4" s="3" t="s">
        <v>152</v>
      </c>
      <c r="E4" s="3" t="s">
        <v>183</v>
      </c>
      <c r="F4" s="3" t="s">
        <v>186</v>
      </c>
      <c r="G4" s="3" t="s">
        <v>197</v>
      </c>
      <c r="H4" s="3" t="s">
        <v>198</v>
      </c>
      <c r="I4" s="3" t="s">
        <v>83</v>
      </c>
      <c r="J4" s="3" t="s">
        <v>84</v>
      </c>
      <c r="K4" s="3" t="s">
        <v>199</v>
      </c>
      <c r="L4" s="3" t="s">
        <v>106</v>
      </c>
      <c r="M4" s="3" t="s">
        <v>200</v>
      </c>
    </row>
    <row r="5" customFormat="false" ht="15" hidden="false" customHeight="false" outlineLevel="0" collapsed="false">
      <c r="A5" s="2" t="s">
        <v>125</v>
      </c>
      <c r="B5" s="2" t="s">
        <v>201</v>
      </c>
      <c r="C5" s="5" t="n">
        <f aca="false">IFERROR(AVERAGEIFS(Dados_SUM!$H:$H,Dados_SUM!$A:$A,"exp8_polling_sleep"),"sem amostras")</f>
        <v>50</v>
      </c>
      <c r="D5" s="5" t="n">
        <f aca="false">IFERROR(AVERAGEIFS(Dados_SUM!$J:$J,Dados_SUM!$A:$A,"exp8_polling_sleep"),"sem amostras")</f>
        <v>50</v>
      </c>
      <c r="E5" s="6" t="n">
        <f aca="false">IFERROR(AVERAGEIFS(Dados_SUM!$P:$P,Dados_SUM!$A:$A,"exp8_polling_sleep"),"sem amostras")</f>
        <v>0</v>
      </c>
      <c r="F5" s="4" t="n">
        <f aca="false">IFERROR(AVERAGEIFS(Dados_LAT!$J:$J,Dados_LAT!$A:$A,"exp8_polling_sleep",Dados_LAT!$D:$D,"lat_process"),"sem amostras")</f>
        <v>4700.458</v>
      </c>
      <c r="G5" s="4" t="n">
        <f aca="false">IFERROR(_xlfn.MAXIFS(Dados_LAT!$K:$K,Dados_LAT!$A:$A,"exp8_polling_sleep",Dados_LAT!$D:$D,"lat_process"),"sem amostras")</f>
        <v>10000.008</v>
      </c>
      <c r="H5" s="12" t="n">
        <f aca="false">IFERROR(IFERROR(AVERAGEIFS(Dados_LAT!$J:$J,Dados_LAT!$A:$A,"exp8_polling_sleep",Dados_LAT!$D:$D,"lat_proc_dur"),"sem amostras")/1000,"")</f>
        <v>100.998708</v>
      </c>
      <c r="I5" s="7" t="n">
        <f aca="false">IFERROR(AVERAGEIFS(Dados_SUM!$Q:$Q,Dados_SUM!$A:$A,"exp8_polling_sleep"),"sem amostras")</f>
        <v>0.0001</v>
      </c>
      <c r="J5" s="7" t="n">
        <f aca="false">IFERROR(AVERAGEIFS(Dados_SUM!$R:$R,Dados_SUM!$A:$A,"exp8_polling_sleep"),"sem amostras")</f>
        <v>0.4974</v>
      </c>
      <c r="K5" s="9" t="n">
        <f aca="false">INDEX(Dados_Memoria!$B:$B,MATCH("exp8_polling_sleep",Dados_Memoria!$A:$A,0))</f>
        <v>146432</v>
      </c>
      <c r="L5" s="9" t="n">
        <f aca="false">INDEX(Dados_Memoria!$F:$F,MATCH("exp8_polling_sleep",Dados_Memoria!$A:$A,0))</f>
        <v>20680</v>
      </c>
      <c r="M5" s="2" t="str">
        <f aca="false">IFERROR(TEXT(_xlfn.MAXIFS(Dados_Threads!$D:$D,Dados_Threads!$A:$A,"exp8_polling_sleep",Dados_Threads!$C:$C,"poll"),"0")&amp;" / "&amp;TEXT(_xlfn.MAXIFS(Dados_Threads!$E:$E,Dados_Threads!$A:$A,"exp8_polling_sleep",Dados_Threads!$C:$C,"poll"),"0"),"n/a")</f>
        <v>576 / 1024</v>
      </c>
    </row>
    <row r="6" customFormat="false" ht="15" hidden="false" customHeight="false" outlineLevel="0" collapsed="false">
      <c r="A6" s="2" t="s">
        <v>125</v>
      </c>
      <c r="B6" s="2" t="s">
        <v>202</v>
      </c>
      <c r="C6" s="5" t="n">
        <f aca="false">IFERROR(AVERAGEIFS(Dados_SUM!$H:$H,Dados_SUM!$A:$A,"exp8_polling_busy"),"sem amostras")</f>
        <v>50</v>
      </c>
      <c r="D6" s="5" t="n">
        <f aca="false">IFERROR(AVERAGEIFS(Dados_SUM!$J:$J,Dados_SUM!$A:$A,"exp8_polling_busy"),"sem amostras")</f>
        <v>50</v>
      </c>
      <c r="E6" s="6" t="n">
        <f aca="false">IFERROR(AVERAGEIFS(Dados_SUM!$P:$P,Dados_SUM!$A:$A,"exp8_polling_busy"),"sem amostras")</f>
        <v>0</v>
      </c>
      <c r="F6" s="4" t="n">
        <f aca="false">IFERROR(AVERAGEIFS(Dados_LAT!$J:$J,Dados_LAT!$A:$A,"exp8_polling_busy",Dados_LAT!$D:$D,"lat_process"),"sem amostras")</f>
        <v>7999.679</v>
      </c>
      <c r="G6" s="4" t="n">
        <f aca="false">IFERROR(_xlfn.MAXIFS(Dados_LAT!$K:$K,Dados_LAT!$A:$A,"exp8_polling_busy",Dados_LAT!$D:$D,"lat_process"),"sem amostras")</f>
        <v>8000.008</v>
      </c>
      <c r="H6" s="12" t="n">
        <f aca="false">IFERROR(IFERROR(AVERAGEIFS(Dados_LAT!$J:$J,Dados_LAT!$A:$A,"exp8_polling_busy",Dados_LAT!$D:$D,"lat_proc_dur"),"sem amostras")/1000,"")</f>
        <v>100.00635</v>
      </c>
      <c r="I6" s="7" t="n">
        <f aca="false">IFERROR(AVERAGEIFS(Dados_SUM!$Q:$Q,Dados_SUM!$A:$A,"exp8_polling_busy"),"sem amostras")</f>
        <v>0.4927</v>
      </c>
      <c r="J6" s="7" t="n">
        <f aca="false">IFERROR(AVERAGEIFS(Dados_SUM!$R:$R,Dados_SUM!$A:$A,"exp8_polling_busy"),"sem amostras")</f>
        <v>0.4925</v>
      </c>
      <c r="K6" s="9" t="n">
        <f aca="false">INDEX(Dados_Memoria!$B:$B,MATCH("exp8_polling_busy",Dados_Memoria!$A:$A,0))</f>
        <v>146432</v>
      </c>
      <c r="L6" s="9" t="n">
        <f aca="false">INDEX(Dados_Memoria!$F:$F,MATCH("exp8_polling_busy",Dados_Memoria!$A:$A,0))</f>
        <v>20680</v>
      </c>
      <c r="M6" s="2" t="str">
        <f aca="false">IFERROR(TEXT(_xlfn.MAXIFS(Dados_Threads!$D:$D,Dados_Threads!$A:$A,"exp8_polling_busy",Dados_Threads!$C:$C,"poll"),"0")&amp;" / "&amp;TEXT(_xlfn.MAXIFS(Dados_Threads!$E:$E,Dados_Threads!$A:$A,"exp8_polling_busy",Dados_Threads!$C:$C,"poll"),"0"),"n/a")</f>
        <v>576 / 1024</v>
      </c>
    </row>
    <row r="7" customFormat="false" ht="15" hidden="false" customHeight="false" outlineLevel="0" collapsed="false">
      <c r="A7" s="2" t="s">
        <v>125</v>
      </c>
      <c r="B7" s="2" t="s">
        <v>203</v>
      </c>
      <c r="C7" s="5" t="n">
        <f aca="false">IFERROR(AVERAGEIFS(Dados_SUM!$H:$H,Dados_SUM!$A:$A,"exp8_polling_rajada"),"sem amostras")</f>
        <v>50</v>
      </c>
      <c r="D7" s="5" t="n">
        <f aca="false">IFERROR(AVERAGEIFS(Dados_SUM!$J:$J,Dados_SUM!$A:$A,"exp8_polling_rajada"),"sem amostras")</f>
        <v>17</v>
      </c>
      <c r="E7" s="6" t="n">
        <f aca="false">IFERROR(AVERAGEIFS(Dados_SUM!$P:$P,Dados_SUM!$A:$A,"exp8_polling_rajada"),"sem amostras")</f>
        <v>0.66</v>
      </c>
      <c r="F7" s="4" t="n">
        <f aca="false">IFERROR(AVERAGEIFS(Dados_LAT!$J:$J,Dados_LAT!$A:$A,"exp8_polling_rajada",Dados_LAT!$D:$D,"lat_process"),"sem amostras")</f>
        <v>4940.529</v>
      </c>
      <c r="G7" s="4" t="n">
        <f aca="false">IFERROR(_xlfn.MAXIFS(Dados_LAT!$K:$K,Dados_LAT!$A:$A,"exp8_polling_rajada",Dados_LAT!$D:$D,"lat_process"),"sem amostras")</f>
        <v>10000.004</v>
      </c>
      <c r="H7" s="12" t="n">
        <f aca="false">IFERROR(IFERROR(AVERAGEIFS(Dados_LAT!$J:$J,Dados_LAT!$A:$A,"exp8_polling_rajada",Dados_LAT!$D:$D,"lat_proc_dur"),"sem amostras")/1000,"")</f>
        <v>100.00617</v>
      </c>
      <c r="I7" s="7" t="n">
        <f aca="false">IFERROR(AVERAGEIFS(Dados_SUM!$Q:$Q,Dados_SUM!$A:$A,"exp8_polling_rajada"),"sem amostras")</f>
        <v>0.6414</v>
      </c>
      <c r="J7" s="7" t="n">
        <f aca="false">IFERROR(AVERAGEIFS(Dados_SUM!$R:$R,Dados_SUM!$A:$A,"exp8_polling_rajada"),"sem amostras")</f>
        <v>0.6413</v>
      </c>
      <c r="K7" s="9" t="n">
        <f aca="false">INDEX(Dados_Memoria!$B:$B,MATCH("exp8_polling_rajada",Dados_Memoria!$A:$A,0))</f>
        <v>146432</v>
      </c>
      <c r="L7" s="9" t="n">
        <f aca="false">INDEX(Dados_Memoria!$F:$F,MATCH("exp8_polling_rajada",Dados_Memoria!$A:$A,0))</f>
        <v>20680</v>
      </c>
      <c r="M7" s="2" t="str">
        <f aca="false">IFERROR(TEXT(_xlfn.MAXIFS(Dados_Threads!$D:$D,Dados_Threads!$A:$A,"exp8_polling_rajada",Dados_Threads!$C:$C,"poll"),"0")&amp;" / "&amp;TEXT(_xlfn.MAXIFS(Dados_Threads!$E:$E,Dados_Threads!$A:$A,"exp8_polling_rajada",Dados_Threads!$C:$C,"poll"),"0"),"n/a")</f>
        <v>576 / 1024</v>
      </c>
    </row>
    <row r="8" customFormat="false" ht="15" hidden="false" customHeight="false" outlineLevel="0" collapsed="false">
      <c r="A8" s="2" t="s">
        <v>126</v>
      </c>
      <c r="B8" s="2" t="s">
        <v>201</v>
      </c>
      <c r="C8" s="5" t="n">
        <f aca="false">IFERROR(AVERAGEIFS(Dados_SUM!$H:$H,Dados_SUM!$A:$A,"exp8_irq_thread_sleep"),"sem amostras")</f>
        <v>50</v>
      </c>
      <c r="D8" s="5" t="n">
        <f aca="false">IFERROR(AVERAGEIFS(Dados_SUM!$J:$J,Dados_SUM!$A:$A,"exp8_irq_thread_sleep"),"sem amostras")</f>
        <v>50</v>
      </c>
      <c r="E8" s="6" t="n">
        <f aca="false">IFERROR(AVERAGEIFS(Dados_SUM!$P:$P,Dados_SUM!$A:$A,"exp8_irq_thread_sleep"),"sem amostras")</f>
        <v>0</v>
      </c>
      <c r="F8" s="4" t="n">
        <f aca="false">IFERROR(AVERAGEIFS(Dados_LAT!$J:$J,Dados_LAT!$A:$A,"exp8_irq_thread_sleep",Dados_LAT!$D:$D,"lat_process"),"sem amostras")</f>
        <v>6.708</v>
      </c>
      <c r="G8" s="4" t="n">
        <f aca="false">IFERROR(_xlfn.MAXIFS(Dados_LAT!$K:$K,Dados_LAT!$A:$A,"exp8_irq_thread_sleep",Dados_LAT!$D:$D,"lat_process"),"sem amostras")</f>
        <v>6.716</v>
      </c>
      <c r="H8" s="12" t="n">
        <f aca="false">IFERROR(IFERROR(AVERAGEIFS(Dados_LAT!$J:$J,Dados_LAT!$A:$A,"exp8_irq_thread_sleep",Dados_LAT!$D:$D,"lat_proc_dur"),"sem amostras")/1000,"")</f>
        <v>100.992683</v>
      </c>
      <c r="I8" s="7" t="n">
        <f aca="false">IFERROR(AVERAGEIFS(Dados_SUM!$Q:$Q,Dados_SUM!$A:$A,"exp8_irq_thread_sleep"),"sem amostras")</f>
        <v>0</v>
      </c>
      <c r="J8" s="7" t="n">
        <f aca="false">IFERROR(AVERAGEIFS(Dados_SUM!$R:$R,Dados_SUM!$A:$A,"exp8_irq_thread_sleep"),"sem amostras")</f>
        <v>0.4974</v>
      </c>
      <c r="K8" s="9" t="n">
        <f aca="false">INDEX(Dados_Memoria!$B:$B,MATCH("exp8_irq_thread_sleep",Dados_Memoria!$A:$A,0))</f>
        <v>146576</v>
      </c>
      <c r="L8" s="9" t="n">
        <f aca="false">INDEX(Dados_Memoria!$F:$F,MATCH("exp8_irq_thread_sleep",Dados_Memoria!$A:$A,0))</f>
        <v>20712</v>
      </c>
      <c r="M8" s="2" t="str">
        <f aca="false">IFERROR(TEXT(_xlfn.MAXIFS(Dados_Threads!$D:$D,Dados_Threads!$A:$A,"exp8_irq_thread_sleep",Dados_Threads!$C:$C,"worker"),"0")&amp;" / "&amp;TEXT(_xlfn.MAXIFS(Dados_Threads!$E:$E,Dados_Threads!$A:$A,"exp8_irq_thread_sleep",Dados_Threads!$C:$C,"worker"),"0"),"n/a")</f>
        <v>560 / 1024</v>
      </c>
    </row>
    <row r="9" customFormat="false" ht="15" hidden="false" customHeight="false" outlineLevel="0" collapsed="false">
      <c r="A9" s="2" t="s">
        <v>126</v>
      </c>
      <c r="B9" s="2" t="s">
        <v>202</v>
      </c>
      <c r="C9" s="5" t="n">
        <f aca="false">IFERROR(AVERAGEIFS(Dados_SUM!$H:$H,Dados_SUM!$A:$A,"exp8_irq_thread_busy"),"sem amostras")</f>
        <v>50</v>
      </c>
      <c r="D9" s="5" t="n">
        <f aca="false">IFERROR(AVERAGEIFS(Dados_SUM!$J:$J,Dados_SUM!$A:$A,"exp8_irq_thread_busy"),"sem amostras")</f>
        <v>50</v>
      </c>
      <c r="E9" s="6" t="n">
        <f aca="false">IFERROR(AVERAGEIFS(Dados_SUM!$P:$P,Dados_SUM!$A:$A,"exp8_irq_thread_busy"),"sem amostras")</f>
        <v>0</v>
      </c>
      <c r="F9" s="4" t="n">
        <f aca="false">IFERROR(AVERAGEIFS(Dados_LAT!$J:$J,Dados_LAT!$A:$A,"exp8_irq_thread_busy",Dados_LAT!$D:$D,"lat_process"),"sem amostras")</f>
        <v>6.708</v>
      </c>
      <c r="G9" s="4" t="n">
        <f aca="false">IFERROR(_xlfn.MAXIFS(Dados_LAT!$K:$K,Dados_LAT!$A:$A,"exp8_irq_thread_busy",Dados_LAT!$D:$D,"lat_process"),"sem amostras")</f>
        <v>6.716</v>
      </c>
      <c r="H9" s="12" t="n">
        <f aca="false">IFERROR(IFERROR(AVERAGEIFS(Dados_LAT!$J:$J,Dados_LAT!$A:$A,"exp8_irq_thread_busy",Dados_LAT!$D:$D,"lat_proc_dur"),"sem amostras")/1000,"")</f>
        <v>100.006341</v>
      </c>
      <c r="I9" s="7" t="n">
        <f aca="false">IFERROR(AVERAGEIFS(Dados_SUM!$Q:$Q,Dados_SUM!$A:$A,"exp8_irq_thread_busy"),"sem amostras")</f>
        <v>0.4926</v>
      </c>
      <c r="J9" s="7" t="n">
        <f aca="false">IFERROR(AVERAGEIFS(Dados_SUM!$R:$R,Dados_SUM!$A:$A,"exp8_irq_thread_busy"),"sem amostras")</f>
        <v>0.4925</v>
      </c>
      <c r="K9" s="9" t="n">
        <f aca="false">INDEX(Dados_Memoria!$B:$B,MATCH("exp8_irq_thread_busy",Dados_Memoria!$A:$A,0))</f>
        <v>146576</v>
      </c>
      <c r="L9" s="9" t="n">
        <f aca="false">INDEX(Dados_Memoria!$F:$F,MATCH("exp8_irq_thread_busy",Dados_Memoria!$A:$A,0))</f>
        <v>20712</v>
      </c>
      <c r="M9" s="2" t="str">
        <f aca="false">IFERROR(TEXT(_xlfn.MAXIFS(Dados_Threads!$D:$D,Dados_Threads!$A:$A,"exp8_irq_thread_busy",Dados_Threads!$C:$C,"worker"),"0")&amp;" / "&amp;TEXT(_xlfn.MAXIFS(Dados_Threads!$E:$E,Dados_Threads!$A:$A,"exp8_irq_thread_busy",Dados_Threads!$C:$C,"worker"),"0"),"n/a")</f>
        <v>560 / 1024</v>
      </c>
    </row>
    <row r="10" customFormat="false" ht="15" hidden="false" customHeight="false" outlineLevel="0" collapsed="false">
      <c r="A10" s="2" t="s">
        <v>126</v>
      </c>
      <c r="B10" s="2" t="s">
        <v>203</v>
      </c>
      <c r="C10" s="5" t="n">
        <f aca="false">IFERROR(AVERAGEIFS(Dados_SUM!$H:$H,Dados_SUM!$A:$A,"exp8_irq_thread_rajada"),"sem amostras")</f>
        <v>50</v>
      </c>
      <c r="D10" s="5" t="n">
        <f aca="false">IFERROR(AVERAGEIFS(Dados_SUM!$J:$J,Dados_SUM!$A:$A,"exp8_irq_thread_rajada"),"sem amostras")</f>
        <v>26</v>
      </c>
      <c r="E10" s="6" t="n">
        <f aca="false">IFERROR(AVERAGEIFS(Dados_SUM!$P:$P,Dados_SUM!$A:$A,"exp8_irq_thread_rajada"),"sem amostras")</f>
        <v>0.48</v>
      </c>
      <c r="F10" s="4" t="n">
        <f aca="false">IFERROR(AVERAGEIFS(Dados_LAT!$J:$J,Dados_LAT!$A:$A,"exp8_irq_thread_rajada",Dados_LAT!$D:$D,"lat_process"),"sem amostras")</f>
        <v>26988.67</v>
      </c>
      <c r="G10" s="4" t="n">
        <f aca="false">IFERROR(_xlfn.MAXIFS(Dados_LAT!$K:$K,Dados_LAT!$A:$A,"exp8_irq_thread_rajada",Dados_LAT!$D:$D,"lat_process"),"sem amostras")</f>
        <v>99189.954</v>
      </c>
      <c r="H10" s="12" t="n">
        <f aca="false">IFERROR(IFERROR(AVERAGEIFS(Dados_LAT!$J:$J,Dados_LAT!$A:$A,"exp8_irq_thread_rajada",Dados_LAT!$D:$D,"lat_proc_dur"),"sem amostras")/1000,"")</f>
        <v>100.006258</v>
      </c>
      <c r="I10" s="7" t="n">
        <f aca="false">IFERROR(AVERAGEIFS(Dados_SUM!$Q:$Q,Dados_SUM!$A:$A,"exp8_irq_thread_rajada"),"sem amostras")</f>
        <v>0.9808</v>
      </c>
      <c r="J10" s="7" t="n">
        <f aca="false">IFERROR(AVERAGEIFS(Dados_SUM!$R:$R,Dados_SUM!$A:$A,"exp8_irq_thread_rajada"),"sem amostras")</f>
        <v>0.9808</v>
      </c>
      <c r="K10" s="9" t="n">
        <f aca="false">INDEX(Dados_Memoria!$B:$B,MATCH("exp8_irq_thread_rajada",Dados_Memoria!$A:$A,0))</f>
        <v>146576</v>
      </c>
      <c r="L10" s="9" t="n">
        <f aca="false">INDEX(Dados_Memoria!$F:$F,MATCH("exp8_irq_thread_rajada",Dados_Memoria!$A:$A,0))</f>
        <v>20712</v>
      </c>
      <c r="M10" s="2" t="str">
        <f aca="false">IFERROR(TEXT(_xlfn.MAXIFS(Dados_Threads!$D:$D,Dados_Threads!$A:$A,"exp8_irq_thread_rajada",Dados_Threads!$C:$C,"worker"),"0")&amp;" / "&amp;TEXT(_xlfn.MAXIFS(Dados_Threads!$E:$E,Dados_Threads!$A:$A,"exp8_irq_thread_rajada",Dados_Threads!$C:$C,"worker"),"0"),"n/a")</f>
        <v>560 / 1024</v>
      </c>
    </row>
    <row r="11" customFormat="false" ht="15" hidden="false" customHeight="false" outlineLevel="0" collapsed="false">
      <c r="A11" s="2" t="s">
        <v>127</v>
      </c>
      <c r="B11" s="2" t="s">
        <v>201</v>
      </c>
      <c r="C11" s="5" t="n">
        <f aca="false">IFERROR(AVERAGEIFS(Dados_SUM!$H:$H,Dados_SUM!$A:$A,"exp8_workqueue_sleep"),"sem amostras")</f>
        <v>50</v>
      </c>
      <c r="D11" s="5" t="n">
        <f aca="false">IFERROR(AVERAGEIFS(Dados_SUM!$J:$J,Dados_SUM!$A:$A,"exp8_workqueue_sleep"),"sem amostras")</f>
        <v>50</v>
      </c>
      <c r="E11" s="6" t="n">
        <f aca="false">IFERROR(AVERAGEIFS(Dados_SUM!$P:$P,Dados_SUM!$A:$A,"exp8_workqueue_sleep"),"sem amostras")</f>
        <v>0</v>
      </c>
      <c r="F11" s="4" t="n">
        <f aca="false">IFERROR(AVERAGEIFS(Dados_LAT!$J:$J,Dados_LAT!$A:$A,"exp8_workqueue_sleep",Dados_LAT!$D:$D,"lat_process"),"sem amostras")</f>
        <v>7.32</v>
      </c>
      <c r="G11" s="4" t="n">
        <f aca="false">IFERROR(_xlfn.MAXIFS(Dados_LAT!$K:$K,Dados_LAT!$A:$A,"exp8_workqueue_sleep",Dados_LAT!$D:$D,"lat_process"),"sem amostras")</f>
        <v>7.329</v>
      </c>
      <c r="H11" s="12" t="n">
        <f aca="false">IFERROR(IFERROR(AVERAGEIFS(Dados_LAT!$J:$J,Dados_LAT!$A:$A,"exp8_workqueue_sleep",Dados_LAT!$D:$D,"lat_proc_dur"),"sem amostras")/1000,"")</f>
        <v>100.99207</v>
      </c>
      <c r="I11" s="7" t="n">
        <f aca="false">IFERROR(AVERAGEIFS(Dados_SUM!$Q:$Q,Dados_SUM!$A:$A,"exp8_workqueue_sleep"),"sem amostras")</f>
        <v>0</v>
      </c>
      <c r="J11" s="7" t="n">
        <f aca="false">IFERROR(AVERAGEIFS(Dados_SUM!$R:$R,Dados_SUM!$A:$A,"exp8_workqueue_sleep"),"sem amostras")</f>
        <v>0.4974</v>
      </c>
      <c r="K11" s="9" t="n">
        <f aca="false">INDEX(Dados_Memoria!$B:$B,MATCH("exp8_workqueue_sleep",Dados_Memoria!$A:$A,0))</f>
        <v>146512</v>
      </c>
      <c r="L11" s="9" t="n">
        <f aca="false">INDEX(Dados_Memoria!$F:$F,MATCH("exp8_workqueue_sleep",Dados_Memoria!$A:$A,0))</f>
        <v>20752</v>
      </c>
      <c r="M11" s="2" t="str">
        <f aca="false">IFERROR(TEXT(_xlfn.MAXIFS(Dados_Threads!$D:$D,Dados_Threads!$A:$A,"exp8_workqueue_sleep",Dados_Threads!$C:$C,"sysworkq"),"0")&amp;" / "&amp;TEXT(_xlfn.MAXIFS(Dados_Threads!$E:$E,Dados_Threads!$A:$A,"exp8_workqueue_sleep",Dados_Threads!$C:$C,"sysworkq"),"0"),"n/a")</f>
        <v>608 / 1024</v>
      </c>
    </row>
    <row r="12" customFormat="false" ht="15" hidden="false" customHeight="false" outlineLevel="0" collapsed="false">
      <c r="A12" s="2" t="s">
        <v>127</v>
      </c>
      <c r="B12" s="2" t="s">
        <v>202</v>
      </c>
      <c r="C12" s="5" t="n">
        <f aca="false">IFERROR(AVERAGEIFS(Dados_SUM!$H:$H,Dados_SUM!$A:$A,"exp8_workqueue_busy"),"sem amostras")</f>
        <v>50</v>
      </c>
      <c r="D12" s="5" t="n">
        <f aca="false">IFERROR(AVERAGEIFS(Dados_SUM!$J:$J,Dados_SUM!$A:$A,"exp8_workqueue_busy"),"sem amostras")</f>
        <v>50</v>
      </c>
      <c r="E12" s="6" t="n">
        <f aca="false">IFERROR(AVERAGEIFS(Dados_SUM!$P:$P,Dados_SUM!$A:$A,"exp8_workqueue_busy"),"sem amostras")</f>
        <v>0</v>
      </c>
      <c r="F12" s="4" t="n">
        <f aca="false">IFERROR(AVERAGEIFS(Dados_LAT!$J:$J,Dados_LAT!$A:$A,"exp8_workqueue_busy",Dados_LAT!$D:$D,"lat_process"),"sem amostras")</f>
        <v>7.316</v>
      </c>
      <c r="G12" s="4" t="n">
        <f aca="false">IFERROR(_xlfn.MAXIFS(Dados_LAT!$K:$K,Dados_LAT!$A:$A,"exp8_workqueue_busy",Dados_LAT!$D:$D,"lat_process"),"sem amostras")</f>
        <v>7.329</v>
      </c>
      <c r="H12" s="12" t="n">
        <f aca="false">IFERROR(IFERROR(AVERAGEIFS(Dados_LAT!$J:$J,Dados_LAT!$A:$A,"exp8_workqueue_busy",Dados_LAT!$D:$D,"lat_proc_dur"),"sem amostras")/1000,"")</f>
        <v>100.006383</v>
      </c>
      <c r="I12" s="7" t="n">
        <f aca="false">IFERROR(AVERAGEIFS(Dados_SUM!$Q:$Q,Dados_SUM!$A:$A,"exp8_workqueue_busy"),"sem amostras")</f>
        <v>0.4926</v>
      </c>
      <c r="J12" s="7" t="n">
        <f aca="false">IFERROR(AVERAGEIFS(Dados_SUM!$R:$R,Dados_SUM!$A:$A,"exp8_workqueue_busy"),"sem amostras")</f>
        <v>0.4925</v>
      </c>
      <c r="K12" s="9" t="n">
        <f aca="false">INDEX(Dados_Memoria!$B:$B,MATCH("exp8_workqueue_busy",Dados_Memoria!$A:$A,0))</f>
        <v>146496</v>
      </c>
      <c r="L12" s="9" t="n">
        <f aca="false">INDEX(Dados_Memoria!$F:$F,MATCH("exp8_workqueue_busy",Dados_Memoria!$A:$A,0))</f>
        <v>20752</v>
      </c>
      <c r="M12" s="2" t="str">
        <f aca="false">IFERROR(TEXT(_xlfn.MAXIFS(Dados_Threads!$D:$D,Dados_Threads!$A:$A,"exp8_workqueue_busy",Dados_Threads!$C:$C,"sysworkq"),"0")&amp;" / "&amp;TEXT(_xlfn.MAXIFS(Dados_Threads!$E:$E,Dados_Threads!$A:$A,"exp8_workqueue_busy",Dados_Threads!$C:$C,"sysworkq"),"0"),"n/a")</f>
        <v>608 / 1024</v>
      </c>
    </row>
    <row r="13" customFormat="false" ht="15" hidden="false" customHeight="false" outlineLevel="0" collapsed="false">
      <c r="A13" s="2" t="s">
        <v>127</v>
      </c>
      <c r="B13" s="2" t="s">
        <v>203</v>
      </c>
      <c r="C13" s="5" t="n">
        <f aca="false">IFERROR(AVERAGEIFS(Dados_SUM!$H:$H,Dados_SUM!$A:$A,"exp8_workqueue_rajada"),"sem amostras")</f>
        <v>50</v>
      </c>
      <c r="D13" s="5" t="n">
        <f aca="false">IFERROR(AVERAGEIFS(Dados_SUM!$J:$J,Dados_SUM!$A:$A,"exp8_workqueue_rajada"),"sem amostras")</f>
        <v>26</v>
      </c>
      <c r="E13" s="6" t="n">
        <f aca="false">IFERROR(AVERAGEIFS(Dados_SUM!$P:$P,Dados_SUM!$A:$A,"exp8_workqueue_rajada"),"sem amostras")</f>
        <v>0.48</v>
      </c>
      <c r="F13" s="4" t="n">
        <f aca="false">IFERROR(AVERAGEIFS(Dados_LAT!$J:$J,Dados_LAT!$A:$A,"exp8_workqueue_rajada",Dados_LAT!$D:$D,"lat_process"),"sem amostras")</f>
        <v>26994.487</v>
      </c>
      <c r="G13" s="4" t="n">
        <f aca="false">IFERROR(_xlfn.MAXIFS(Dados_LAT!$K:$K,Dados_LAT!$A:$A,"exp8_workqueue_rajada",Dados_LAT!$D:$D,"lat_process"),"sem amostras")</f>
        <v>99201.07</v>
      </c>
      <c r="H13" s="12" t="n">
        <f aca="false">IFERROR(IFERROR(AVERAGEIFS(Dados_LAT!$J:$J,Dados_LAT!$A:$A,"exp8_workqueue_rajada",Dados_LAT!$D:$D,"lat_proc_dur"),"sem amostras")/1000,"")</f>
        <v>100.006308</v>
      </c>
      <c r="I13" s="7" t="n">
        <f aca="false">IFERROR(AVERAGEIFS(Dados_SUM!$Q:$Q,Dados_SUM!$A:$A,"exp8_workqueue_rajada"),"sem amostras")</f>
        <v>0.9808</v>
      </c>
      <c r="J13" s="7" t="n">
        <f aca="false">IFERROR(AVERAGEIFS(Dados_SUM!$R:$R,Dados_SUM!$A:$A,"exp8_workqueue_rajada"),"sem amostras")</f>
        <v>0.9808</v>
      </c>
      <c r="K13" s="9" t="n">
        <f aca="false">INDEX(Dados_Memoria!$B:$B,MATCH("exp8_workqueue_rajada",Dados_Memoria!$A:$A,0))</f>
        <v>146496</v>
      </c>
      <c r="L13" s="9" t="n">
        <f aca="false">INDEX(Dados_Memoria!$F:$F,MATCH("exp8_workqueue_rajada",Dados_Memoria!$A:$A,0))</f>
        <v>20752</v>
      </c>
      <c r="M13" s="2" t="str">
        <f aca="false">IFERROR(TEXT(_xlfn.MAXIFS(Dados_Threads!$D:$D,Dados_Threads!$A:$A,"exp8_workqueue_rajada",Dados_Threads!$C:$C,"sysworkq"),"0")&amp;" / "&amp;TEXT(_xlfn.MAXIFS(Dados_Threads!$E:$E,Dados_Threads!$A:$A,"exp8_workqueue_rajada",Dados_Threads!$C:$C,"sysworkq"),"0"),"n/a")</f>
        <v>608 / 1024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2026-10-19T13:28:10Z</dcterms:created>
  <dc:creator>openpyxl</dc:creator>
  <dc:description/>
  <dc:language>en-US</dc:language>
  <cp:lastModifiedBy/>
  <dcterms:modified xsi:type="dcterms:W3CDTF">2026-10-19T13:31:07Z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